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exports\"/>
    </mc:Choice>
  </mc:AlternateContent>
  <xr:revisionPtr revIDLastSave="0" documentId="13_ncr:1_{009C4C49-8B74-472A-8381-3A566E2C5EE0}" xr6:coauthVersionLast="47" xr6:coauthVersionMax="47" xr10:uidLastSave="{00000000-0000-0000-0000-000000000000}"/>
  <bookViews>
    <workbookView xWindow="-28920" yWindow="10350" windowWidth="29040" windowHeight="15840" xr2:uid="{00000000-000D-0000-FFFF-FFFF00000000}"/>
  </bookViews>
  <sheets>
    <sheet name="Chemins" sheetId="1" r:id="rId1"/>
    <sheet name="Sheet2" sheetId="3" r:id="rId2"/>
    <sheet name="data v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G15" i="1"/>
  <c r="G16" i="1"/>
  <c r="G17" i="1"/>
  <c r="G18" i="1"/>
  <c r="G19" i="1"/>
  <c r="G20" i="1"/>
  <c r="G21" i="1"/>
  <c r="G22" i="1"/>
  <c r="G23" i="1"/>
  <c r="G24" i="1"/>
  <c r="G25" i="1"/>
  <c r="I14" i="1"/>
  <c r="S16" i="1"/>
  <c r="I8" i="1"/>
  <c r="I4" i="1"/>
  <c r="I5" i="1"/>
  <c r="I6" i="1"/>
  <c r="I7" i="1"/>
  <c r="I9" i="1"/>
  <c r="I10" i="1"/>
  <c r="I11" i="1"/>
  <c r="I12" i="1"/>
  <c r="I13" i="1"/>
  <c r="I15" i="1"/>
  <c r="I16" i="1"/>
  <c r="I17" i="1"/>
  <c r="I18" i="1"/>
  <c r="I19" i="1"/>
  <c r="I21" i="1"/>
  <c r="I22" i="1"/>
  <c r="I23" i="1"/>
  <c r="I24" i="1"/>
  <c r="I25" i="1"/>
  <c r="I3" i="1"/>
  <c r="S4" i="1" l="1"/>
  <c r="S5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0" i="1"/>
  <c r="S21" i="1"/>
  <c r="S22" i="1"/>
  <c r="S23" i="1"/>
  <c r="S24" i="1"/>
  <c r="S25" i="1"/>
  <c r="S3" i="1"/>
</calcChain>
</file>

<file path=xl/sharedStrings.xml><?xml version="1.0" encoding="utf-8"?>
<sst xmlns="http://schemas.openxmlformats.org/spreadsheetml/2006/main" count="394" uniqueCount="138">
  <si>
    <t>Triplet</t>
  </si>
  <si>
    <t>Az OA°</t>
  </si>
  <si>
    <t>Az OB°</t>
  </si>
  <si>
    <t>(A, O, B)°</t>
  </si>
  <si>
    <t>La Ferté-Alais - Bourges|Rocamadour - Jumièges|Loches</t>
  </si>
  <si>
    <t>Jumièges|Loches - Saint-Amour - Bourges|Pont de Noirmoutier</t>
  </si>
  <si>
    <t>Bourges|Pont de Noirmoutier - Lac-de-Trémelin|Mirebeau - Bourges|Rocamadour</t>
  </si>
  <si>
    <t>Bourges - Bouvines - Mayence|Waterloo</t>
  </si>
  <si>
    <t>Mayence|Waterloo - Bourges|Île-d'Aix - Massif des Maures|Pevensey</t>
  </si>
  <si>
    <t>Massif des Maures|Pevensey - Bourges - 3RDV|Sainte-Mère-Église</t>
  </si>
  <si>
    <t>3RDV|Sainte-Mère-Église - Île-d'Aix - Bourges|Metz</t>
  </si>
  <si>
    <t>Bourges|Metz - Montereau|Troyes - Bourges</t>
  </si>
  <si>
    <t>Bourges - Coetquidan - Puy de Dôme|Rouen</t>
  </si>
  <si>
    <t>Puy de Dôme|Rouen - Bourges|Domrémy - Donon</t>
  </si>
  <si>
    <t>Donon - Bourges|Domrémy - Bourges</t>
  </si>
  <si>
    <t>Bourges - Chinon|Guérande - Château-Gaillard</t>
  </si>
  <si>
    <t>Château-Gaillard - Bourges|Metz - Brétigny|Vézelay</t>
  </si>
  <si>
    <t>Brétigny|Vézelay - Bourges - Aléria</t>
  </si>
  <si>
    <t>Aléria - Bourges|Île-d'Aix - Bourges</t>
  </si>
  <si>
    <t>Bourges - Boulogne-sur-Mer|Paris - Carignan</t>
  </si>
  <si>
    <t>Carignan - Bâle|Solesmes - Bourges</t>
  </si>
  <si>
    <t>Bourges|Pont de Noirmoutier - Beaugency|Pertuis d'Antioche - Bourges|Le Goulet</t>
  </si>
  <si>
    <t>Bourges|Le Goulet - Grotte de Lombrives|Pic du Midi - Bourges</t>
  </si>
  <si>
    <t>Bourges - Bourges|Rocamadour - La Ferté-Alais</t>
  </si>
  <si>
    <t>Colonne</t>
  </si>
  <si>
    <t>Choix</t>
  </si>
  <si>
    <t>+22</t>
  </si>
  <si>
    <t>Enigme</t>
  </si>
  <si>
    <t>Mot</t>
  </si>
  <si>
    <t>CHERCHE</t>
  </si>
  <si>
    <t>-47</t>
  </si>
  <si>
    <t>SECOND</t>
  </si>
  <si>
    <t>Angle</t>
  </si>
  <si>
    <t>Sommet</t>
  </si>
  <si>
    <t>N-2</t>
  </si>
  <si>
    <t>N</t>
  </si>
  <si>
    <t>DU</t>
  </si>
  <si>
    <t>PONANT</t>
  </si>
  <si>
    <t>St Julien de Mailloc|Villefrancoeur - Bourges|Rocamadour - Bourges|Pont de Noirmoutier</t>
  </si>
  <si>
    <t>Bourges - Bourges|Reims - St Julien de Mailloc|Villefrancoeur</t>
  </si>
  <si>
    <t>Rumigny|Thury-sous-Clermont - Gergovie - Bourges</t>
  </si>
  <si>
    <t>Bourges|Rocamadour - Bourges|Reims - Rumigny|Thury-sous-Clermont</t>
  </si>
  <si>
    <t>Opp Az OA°</t>
  </si>
  <si>
    <t>Opp Az OB°</t>
  </si>
  <si>
    <t>C</t>
  </si>
  <si>
    <t>MESURES</t>
  </si>
  <si>
    <t>48-2</t>
  </si>
  <si>
    <t>VERS</t>
  </si>
  <si>
    <t>SE</t>
  </si>
  <si>
    <t>-(51-2)</t>
  </si>
  <si>
    <t>-(36-2)</t>
  </si>
  <si>
    <t>Angles A,B (sens horaire)</t>
  </si>
  <si>
    <t>(N-2, O, N)</t>
  </si>
  <si>
    <t>(O, N-2, N)</t>
  </si>
  <si>
    <t>(O, N, N-2)</t>
  </si>
  <si>
    <t>-22</t>
  </si>
  <si>
    <t>TROUVE</t>
  </si>
  <si>
    <t>Hypothese A</t>
  </si>
  <si>
    <t>Hypothese B</t>
  </si>
  <si>
    <t>ü</t>
  </si>
  <si>
    <t>Hypothese C</t>
  </si>
  <si>
    <t>AU</t>
  </si>
  <si>
    <t>Dist Max</t>
  </si>
  <si>
    <t>OB</t>
  </si>
  <si>
    <t>OA</t>
  </si>
  <si>
    <t>28-2</t>
  </si>
  <si>
    <t>NE</t>
  </si>
  <si>
    <t>x</t>
  </si>
  <si>
    <t>SENTINELLES</t>
  </si>
  <si>
    <t>CHERBOURG</t>
  </si>
  <si>
    <t>BEC</t>
  </si>
  <si>
    <t>BOURGES</t>
  </si>
  <si>
    <t>50-2</t>
  </si>
  <si>
    <t>30-2</t>
  </si>
  <si>
    <t>39-2</t>
  </si>
  <si>
    <t>EPERNAY</t>
  </si>
  <si>
    <t>A</t>
  </si>
  <si>
    <t>N+2</t>
  </si>
  <si>
    <t>500</t>
  </si>
  <si>
    <t>9-2</t>
  </si>
  <si>
    <t>650</t>
  </si>
  <si>
    <t>Origin</t>
  </si>
  <si>
    <t>Gd Ballon</t>
  </si>
  <si>
    <t>Cercle</t>
  </si>
  <si>
    <t>560</t>
  </si>
  <si>
    <t>780</t>
  </si>
  <si>
    <t>580</t>
  </si>
  <si>
    <t>+2=650</t>
  </si>
  <si>
    <t>420</t>
  </si>
  <si>
    <t>-2=470</t>
  </si>
  <si>
    <t>+2=580</t>
  </si>
  <si>
    <t>-2=500</t>
  </si>
  <si>
    <t>= 650</t>
  </si>
  <si>
    <t>-2=420</t>
  </si>
  <si>
    <t>-2=500/600</t>
  </si>
  <si>
    <t>=650</t>
  </si>
  <si>
    <t>-2=650</t>
  </si>
  <si>
    <t>=420</t>
  </si>
  <si>
    <t>-(78-2)</t>
  </si>
  <si>
    <t>27+2</t>
  </si>
  <si>
    <t>ET</t>
  </si>
  <si>
    <t>+2=560</t>
  </si>
  <si>
    <t>EST=500, EST=650, NE= 560</t>
  </si>
  <si>
    <t>+2=500</t>
  </si>
  <si>
    <t>-(17+2)</t>
  </si>
  <si>
    <r>
      <t xml:space="preserve">Aléria - </t>
    </r>
    <r>
      <rPr>
        <b/>
        <sz val="11"/>
        <color theme="1"/>
        <rFont val="Calibri"/>
        <family val="2"/>
        <scheme val="minor"/>
      </rPr>
      <t>Bourges|Île-d'Aix</t>
    </r>
    <r>
      <rPr>
        <sz val="11"/>
        <color theme="1"/>
        <rFont val="Calibri"/>
        <family val="2"/>
        <scheme val="minor"/>
      </rPr>
      <t xml:space="preserve"> - Bourges</t>
    </r>
  </si>
  <si>
    <r>
      <t xml:space="preserve">Bourges|Le Goulet - </t>
    </r>
    <r>
      <rPr>
        <b/>
        <sz val="11"/>
        <color theme="1"/>
        <rFont val="Calibri"/>
        <family val="2"/>
        <scheme val="minor"/>
      </rPr>
      <t>Grotte de Lombrives|Pic du Midi</t>
    </r>
    <r>
      <rPr>
        <sz val="11"/>
        <color theme="1"/>
        <rFont val="Calibri"/>
        <family val="2"/>
        <scheme val="minor"/>
      </rPr>
      <t xml:space="preserve"> - Bourges</t>
    </r>
  </si>
  <si>
    <t>OA=OB</t>
  </si>
  <si>
    <t>Cas du triangle "plat"</t>
  </si>
  <si>
    <t>En considérant l'inversion Troyes/Montereau</t>
  </si>
  <si>
    <r>
      <rPr>
        <sz val="11"/>
        <color rgb="FFC00000"/>
        <rFont val="Calibri"/>
        <family val="2"/>
        <scheme val="minor"/>
      </rPr>
      <t>La Ferté-Alais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Bourges|Rocamadour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Jumièges|Loches</t>
    </r>
  </si>
  <si>
    <t>Bon</t>
  </si>
  <si>
    <r>
      <t xml:space="preserve">Bourges|Pont de Noirmoutier - </t>
    </r>
    <r>
      <rPr>
        <b/>
        <sz val="11"/>
        <color rgb="FFC00000"/>
        <rFont val="Calibri"/>
        <family val="2"/>
        <scheme val="minor"/>
      </rPr>
      <t>Lac-de-Trémelin|Mirebeau</t>
    </r>
    <r>
      <rPr>
        <sz val="11"/>
        <color theme="1"/>
        <rFont val="Calibri"/>
        <family val="2"/>
        <scheme val="minor"/>
      </rPr>
      <t xml:space="preserve"> - Bourges|Rocamadour</t>
    </r>
  </si>
  <si>
    <r>
      <rPr>
        <sz val="11"/>
        <color rgb="FFC00000"/>
        <rFont val="Calibri"/>
        <family val="2"/>
        <scheme val="minor"/>
      </rPr>
      <t xml:space="preserve">Jumièges|Loches 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 xml:space="preserve">Saint-Amour </t>
    </r>
    <r>
      <rPr>
        <sz val="11"/>
        <color theme="1"/>
        <rFont val="Calibri"/>
        <family val="2"/>
        <scheme val="minor"/>
      </rPr>
      <t>- Bourges|Pont de Noirmoutier</t>
    </r>
  </si>
  <si>
    <r>
      <t>Bourges|Rocamadour -</t>
    </r>
    <r>
      <rPr>
        <b/>
        <sz val="11"/>
        <color theme="1"/>
        <rFont val="Calibri"/>
        <family val="2"/>
        <scheme val="minor"/>
      </rPr>
      <t xml:space="preserve"> Bourges|Reims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Rumigny|Thury-sous-Clermont</t>
    </r>
  </si>
  <si>
    <r>
      <rPr>
        <sz val="11"/>
        <color rgb="FFC00000"/>
        <rFont val="Calibri"/>
        <family val="2"/>
        <scheme val="minor"/>
      </rPr>
      <t>Rumigny|Thury-sous-Clermont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Gergovie</t>
    </r>
    <r>
      <rPr>
        <sz val="11"/>
        <color theme="1"/>
        <rFont val="Calibri"/>
        <family val="2"/>
        <scheme val="minor"/>
      </rPr>
      <t xml:space="preserve"> - Bourges</t>
    </r>
  </si>
  <si>
    <r>
      <t xml:space="preserve">Bourges - </t>
    </r>
    <r>
      <rPr>
        <b/>
        <sz val="11"/>
        <color theme="1"/>
        <rFont val="Calibri"/>
        <family val="2"/>
        <scheme val="minor"/>
      </rPr>
      <t>Bouvines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Mayence|Waterloo</t>
    </r>
  </si>
  <si>
    <r>
      <rPr>
        <sz val="11"/>
        <color rgb="FFC00000"/>
        <rFont val="Calibri"/>
        <family val="2"/>
        <scheme val="minor"/>
      </rPr>
      <t>Mayence|Waterloo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Bourges|Île-d'Aix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Massif des Maures|Pevensey</t>
    </r>
  </si>
  <si>
    <r>
      <rPr>
        <sz val="11"/>
        <color rgb="FFC00000"/>
        <rFont val="Calibri"/>
        <family val="2"/>
        <scheme val="minor"/>
      </rPr>
      <t>Massif des Maures|Pevense</t>
    </r>
    <r>
      <rPr>
        <sz val="11"/>
        <color theme="1"/>
        <rFont val="Calibri"/>
        <family val="2"/>
        <scheme val="minor"/>
      </rPr>
      <t xml:space="preserve">y - </t>
    </r>
    <r>
      <rPr>
        <b/>
        <sz val="11"/>
        <color theme="1"/>
        <rFont val="Calibri"/>
        <family val="2"/>
        <scheme val="minor"/>
      </rPr>
      <t>Bourges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3RDV|Sainte-Mère-Église</t>
    </r>
  </si>
  <si>
    <r>
      <rPr>
        <sz val="11"/>
        <color rgb="FFC00000"/>
        <rFont val="Calibri"/>
        <family val="2"/>
        <scheme val="minor"/>
      </rPr>
      <t>3RDV|Sainte-Mère-Église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Île-d'Aix</t>
    </r>
    <r>
      <rPr>
        <sz val="11"/>
        <color theme="1"/>
        <rFont val="Calibri"/>
        <family val="2"/>
        <scheme val="minor"/>
      </rPr>
      <t xml:space="preserve"> - Bourges|Metz</t>
    </r>
  </si>
  <si>
    <r>
      <t xml:space="preserve">Bourges|Metz - </t>
    </r>
    <r>
      <rPr>
        <b/>
        <sz val="11"/>
        <color rgb="FFC00000"/>
        <rFont val="Calibri"/>
        <family val="2"/>
        <scheme val="minor"/>
      </rPr>
      <t>Montereau|Troyes</t>
    </r>
    <r>
      <rPr>
        <sz val="11"/>
        <color theme="1"/>
        <rFont val="Calibri"/>
        <family val="2"/>
        <scheme val="minor"/>
      </rPr>
      <t xml:space="preserve"> - Bourges</t>
    </r>
  </si>
  <si>
    <t>Inv</t>
  </si>
  <si>
    <r>
      <t xml:space="preserve">Bourges - </t>
    </r>
    <r>
      <rPr>
        <b/>
        <sz val="11"/>
        <color theme="1"/>
        <rFont val="Calibri"/>
        <family val="2"/>
        <scheme val="minor"/>
      </rPr>
      <t>Bourges|Coetquidan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Puy de Dôme</t>
    </r>
  </si>
  <si>
    <r>
      <rPr>
        <sz val="11"/>
        <color rgb="FFC00000"/>
        <rFont val="Calibri"/>
        <family val="2"/>
        <scheme val="minor"/>
      </rPr>
      <t>Puy de Dôme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Bourges|Domrémy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Compiègne|Donon</t>
    </r>
  </si>
  <si>
    <r>
      <rPr>
        <sz val="11"/>
        <color rgb="FFC00000"/>
        <rFont val="Calibri"/>
        <family val="2"/>
        <scheme val="minor"/>
      </rPr>
      <t>Compiègne|Donon</t>
    </r>
    <r>
      <rPr>
        <sz val="11"/>
        <color theme="1"/>
        <rFont val="Calibri"/>
        <family val="2"/>
        <scheme val="minor"/>
      </rPr>
      <t xml:space="preserve"> -</t>
    </r>
    <r>
      <rPr>
        <b/>
        <sz val="11"/>
        <color theme="1"/>
        <rFont val="Calibri"/>
        <family val="2"/>
        <scheme val="minor"/>
      </rPr>
      <t xml:space="preserve"> Bourges|Coetquidan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Guérande|Rouen</t>
    </r>
  </si>
  <si>
    <r>
      <rPr>
        <sz val="11"/>
        <color rgb="FFC00000"/>
        <rFont val="Calibri"/>
        <family val="2"/>
        <scheme val="minor"/>
      </rPr>
      <t>Guérande|Rouen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Château-Gaillard</t>
    </r>
    <r>
      <rPr>
        <sz val="11"/>
        <color theme="1"/>
        <rFont val="Calibri"/>
        <family val="2"/>
        <scheme val="minor"/>
      </rPr>
      <t xml:space="preserve"> - Bourges|Metz</t>
    </r>
  </si>
  <si>
    <r>
      <t xml:space="preserve">Bourges|Metz - </t>
    </r>
    <r>
      <rPr>
        <b/>
        <sz val="11"/>
        <color rgb="FFC00000"/>
        <rFont val="Calibri"/>
        <family val="2"/>
        <scheme val="minor"/>
      </rPr>
      <t>Brétigny|Vézelay</t>
    </r>
    <r>
      <rPr>
        <sz val="11"/>
        <color theme="1"/>
        <rFont val="Calibri"/>
        <family val="2"/>
        <scheme val="minor"/>
      </rPr>
      <t xml:space="preserve"> - Aléria</t>
    </r>
  </si>
  <si>
    <r>
      <t xml:space="preserve">Bourges - </t>
    </r>
    <r>
      <rPr>
        <b/>
        <sz val="11"/>
        <color rgb="FFC00000"/>
        <rFont val="Calibri"/>
        <family val="2"/>
        <scheme val="minor"/>
      </rPr>
      <t>Boulogne-sur-Mer|Paris</t>
    </r>
    <r>
      <rPr>
        <sz val="11"/>
        <color theme="1"/>
        <rFont val="Calibri"/>
        <family val="2"/>
        <scheme val="minor"/>
      </rPr>
      <t xml:space="preserve"> - Carignan</t>
    </r>
  </si>
  <si>
    <r>
      <t xml:space="preserve">Carignan - </t>
    </r>
    <r>
      <rPr>
        <b/>
        <sz val="11"/>
        <color rgb="FFC00000"/>
        <rFont val="Calibri"/>
        <family val="2"/>
        <scheme val="minor"/>
      </rPr>
      <t>Bâle|Solesmes</t>
    </r>
    <r>
      <rPr>
        <sz val="11"/>
        <color theme="1"/>
        <rFont val="Calibri"/>
        <family val="2"/>
        <scheme val="minor"/>
      </rPr>
      <t xml:space="preserve"> - Bourges</t>
    </r>
  </si>
  <si>
    <r>
      <t xml:space="preserve">Bourges - </t>
    </r>
    <r>
      <rPr>
        <b/>
        <sz val="11"/>
        <color theme="1"/>
        <rFont val="Calibri"/>
        <family val="2"/>
        <scheme val="minor"/>
      </rPr>
      <t>Bourges|Reims</t>
    </r>
    <r>
      <rPr>
        <sz val="11"/>
        <color theme="1"/>
        <rFont val="Calibri"/>
        <family val="2"/>
        <scheme val="minor"/>
      </rPr>
      <t xml:space="preserve"> - </t>
    </r>
    <r>
      <rPr>
        <sz val="11"/>
        <color rgb="FFC00000"/>
        <rFont val="Calibri"/>
        <family val="2"/>
        <scheme val="minor"/>
      </rPr>
      <t>St Julien de Mailloc|Villefrancoeur</t>
    </r>
  </si>
  <si>
    <r>
      <rPr>
        <sz val="11"/>
        <color rgb="FFC00000"/>
        <rFont val="Calibri"/>
        <family val="2"/>
        <scheme val="minor"/>
      </rPr>
      <t>St Julien de Mailloc|Villefrancoeur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Bourges|Rocamadour</t>
    </r>
    <r>
      <rPr>
        <sz val="11"/>
        <color theme="1"/>
        <rFont val="Calibri"/>
        <family val="2"/>
        <scheme val="minor"/>
      </rPr>
      <t xml:space="preserve"> - Bourges|Pont de Noirmoutier</t>
    </r>
  </si>
  <si>
    <t>orthogonale?</t>
  </si>
  <si>
    <t>Sens Reliquats</t>
  </si>
  <si>
    <t>Orientation</t>
  </si>
  <si>
    <t>CCW</t>
  </si>
  <si>
    <t>CW</t>
  </si>
  <si>
    <r>
      <t xml:space="preserve">Bourges|Pont de Noirmoutier - </t>
    </r>
    <r>
      <rPr>
        <b/>
        <sz val="11"/>
        <color rgb="FFC00000"/>
        <rFont val="Calibri"/>
        <family val="2"/>
        <scheme val="minor"/>
      </rPr>
      <t>Beaugency|Pertuis d'Antioche</t>
    </r>
    <r>
      <rPr>
        <sz val="11"/>
        <color theme="1"/>
        <rFont val="Calibri"/>
        <family val="2"/>
        <scheme val="minor"/>
      </rPr>
      <t xml:space="preserve"> - Bourges|Le Goulet</t>
    </r>
  </si>
  <si>
    <t>CW/CCW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</si>
</sst>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339966"/>
      <name val="Wingdings"/>
      <charset val="2"/>
    </font>
    <font>
      <b/>
      <sz val="11"/>
      <color rgb="FFC00000"/>
      <name val="Wingdings"/>
      <charset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C000"/>
      <name val="Wingdings"/>
      <charset val="2"/>
    </font>
    <font>
      <sz val="11"/>
      <color rgb="FF8E6C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0" fillId="0" borderId="0" xfId="0" applyNumberFormat="1"/>
    <xf numFmtId="9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quotePrefix="1" applyNumberFormat="1"/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center" wrapText="1"/>
    </xf>
    <xf numFmtId="2" fontId="2" fillId="0" borderId="0" xfId="0" applyNumberFormat="1" applyFont="1"/>
    <xf numFmtId="0" fontId="0" fillId="2" borderId="0" xfId="0" applyFill="1"/>
    <xf numFmtId="0" fontId="4" fillId="3" borderId="0" xfId="0" applyFont="1" applyFill="1" applyAlignment="1">
      <alignment vertical="center" wrapText="1"/>
    </xf>
    <xf numFmtId="16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Fill="1"/>
    <xf numFmtId="2" fontId="0" fillId="4" borderId="0" xfId="0" applyNumberFormat="1" applyFill="1"/>
    <xf numFmtId="2" fontId="0" fillId="3" borderId="0" xfId="0" applyNumberFormat="1" applyFill="1"/>
    <xf numFmtId="2" fontId="6" fillId="0" borderId="0" xfId="0" applyNumberFormat="1" applyFont="1" applyAlignment="1">
      <alignment horizontal="center" vertical="center"/>
    </xf>
    <xf numFmtId="2" fontId="5" fillId="0" borderId="0" xfId="0" quotePrefix="1" applyNumberFormat="1" applyFont="1" applyAlignment="1">
      <alignment vertical="center"/>
    </xf>
    <xf numFmtId="2" fontId="5" fillId="0" borderId="0" xfId="0" quotePrefix="1" applyNumberFormat="1" applyFont="1" applyAlignment="1">
      <alignment horizontal="center" vertical="center"/>
    </xf>
    <xf numFmtId="0" fontId="0" fillId="0" borderId="0" xfId="0" applyFill="1"/>
    <xf numFmtId="2" fontId="5" fillId="3" borderId="0" xfId="0" quotePrefix="1" applyNumberFormat="1" applyFont="1" applyFill="1" applyAlignment="1">
      <alignment horizontal="center" vertical="center"/>
    </xf>
    <xf numFmtId="2" fontId="10" fillId="0" borderId="0" xfId="0" quotePrefix="1" applyNumberFormat="1" applyFont="1" applyAlignment="1">
      <alignment horizontal="center" vertical="center"/>
    </xf>
    <xf numFmtId="2" fontId="11" fillId="0" borderId="0" xfId="0" applyNumberFormat="1" applyFont="1"/>
    <xf numFmtId="2" fontId="12" fillId="0" borderId="0" xfId="0" applyNumberFormat="1" applyFont="1"/>
    <xf numFmtId="2" fontId="1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E6C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B1" workbookViewId="0">
      <selection activeCell="I4" sqref="I4"/>
    </sheetView>
  </sheetViews>
  <sheetFormatPr defaultRowHeight="14.25" x14ac:dyDescent="0.45"/>
  <cols>
    <col min="1" max="1" width="80" customWidth="1"/>
    <col min="2" max="2" width="4.9296875" customWidth="1"/>
    <col min="3" max="3" width="2.265625" customWidth="1"/>
    <col min="4" max="4" width="14.1328125" customWidth="1"/>
    <col min="5" max="5" width="11.06640625" customWidth="1"/>
    <col min="6" max="9" width="10.1328125" customWidth="1"/>
    <col min="10" max="10" width="6.9296875" customWidth="1"/>
    <col min="11" max="11" width="7.59765625" customWidth="1"/>
    <col min="12" max="12" width="8.265625" customWidth="1"/>
    <col min="13" max="13" width="14.265625" customWidth="1"/>
    <col min="14" max="14" width="3.19921875" customWidth="1"/>
    <col min="15" max="15" width="3.06640625" customWidth="1"/>
    <col min="16" max="16" width="6.1328125" customWidth="1"/>
    <col min="17" max="17" width="8.796875" customWidth="1"/>
    <col min="18" max="18" width="12" customWidth="1"/>
    <col min="20" max="20" width="9.06640625" style="7"/>
    <col min="21" max="21" width="15.06640625" customWidth="1"/>
    <col min="22" max="22" width="3.46484375" customWidth="1"/>
  </cols>
  <sheetData>
    <row r="1" spans="1:23" x14ac:dyDescent="0.45">
      <c r="R1" s="18" t="s">
        <v>24</v>
      </c>
      <c r="S1" s="18"/>
      <c r="T1" s="18"/>
    </row>
    <row r="2" spans="1:23" x14ac:dyDescent="0.45">
      <c r="A2" s="1" t="s">
        <v>0</v>
      </c>
      <c r="B2" s="1"/>
      <c r="C2" s="5"/>
      <c r="D2" s="5" t="s">
        <v>81</v>
      </c>
      <c r="E2" s="5" t="s">
        <v>133</v>
      </c>
      <c r="F2" s="5" t="s">
        <v>1</v>
      </c>
      <c r="G2" s="5" t="s">
        <v>42</v>
      </c>
      <c r="H2" s="5" t="s">
        <v>2</v>
      </c>
      <c r="I2" s="5" t="s">
        <v>43</v>
      </c>
      <c r="J2" s="5" t="s">
        <v>83</v>
      </c>
      <c r="K2" s="5" t="s">
        <v>32</v>
      </c>
      <c r="L2" s="5" t="s">
        <v>33</v>
      </c>
      <c r="M2" s="5" t="s">
        <v>27</v>
      </c>
      <c r="N2" s="5"/>
      <c r="O2" s="1"/>
      <c r="P2" s="5" t="s">
        <v>132</v>
      </c>
      <c r="Q2" s="5" t="s">
        <v>62</v>
      </c>
      <c r="R2" s="1" t="s">
        <v>3</v>
      </c>
      <c r="S2" s="3">
        <v>1</v>
      </c>
      <c r="T2" s="8" t="s">
        <v>25</v>
      </c>
      <c r="U2" s="5" t="s">
        <v>28</v>
      </c>
    </row>
    <row r="3" spans="1:23" x14ac:dyDescent="0.45">
      <c r="A3" t="s">
        <v>110</v>
      </c>
      <c r="B3">
        <v>1</v>
      </c>
      <c r="C3" s="2"/>
      <c r="D3" s="2" t="s">
        <v>82</v>
      </c>
      <c r="E3" s="29" t="s">
        <v>135</v>
      </c>
      <c r="F3" s="2"/>
      <c r="G3" s="2"/>
      <c r="H3" s="20">
        <v>94.38</v>
      </c>
      <c r="I3" s="2">
        <f>180-H3</f>
        <v>85.62</v>
      </c>
      <c r="J3" s="10" t="s">
        <v>78</v>
      </c>
      <c r="K3" s="2">
        <v>89.2</v>
      </c>
      <c r="L3" s="2" t="s">
        <v>35</v>
      </c>
      <c r="M3" s="10" t="s">
        <v>87</v>
      </c>
      <c r="N3" s="23" t="s">
        <v>59</v>
      </c>
      <c r="O3" s="2"/>
      <c r="P3" t="s">
        <v>111</v>
      </c>
      <c r="Q3" s="2" t="s">
        <v>63</v>
      </c>
      <c r="R3" s="2">
        <v>169.03518770883119</v>
      </c>
      <c r="S3" s="4">
        <f>R3/3.6</f>
        <v>46.954218808008662</v>
      </c>
      <c r="T3" s="9" t="s">
        <v>30</v>
      </c>
      <c r="U3" t="s">
        <v>29</v>
      </c>
      <c r="V3" s="24" t="s">
        <v>59</v>
      </c>
    </row>
    <row r="4" spans="1:23" x14ac:dyDescent="0.45">
      <c r="A4" t="s">
        <v>113</v>
      </c>
      <c r="B4">
        <v>2</v>
      </c>
      <c r="C4" s="14"/>
      <c r="D4" s="2" t="s">
        <v>82</v>
      </c>
      <c r="E4" s="29" t="s">
        <v>135</v>
      </c>
      <c r="F4" s="14"/>
      <c r="G4" s="2"/>
      <c r="H4" s="2">
        <v>123.77</v>
      </c>
      <c r="I4" s="21">
        <f>180-H4</f>
        <v>56.230000000000004</v>
      </c>
      <c r="J4" s="10" t="s">
        <v>88</v>
      </c>
      <c r="K4" s="2">
        <v>43.46</v>
      </c>
      <c r="L4" s="2" t="s">
        <v>34</v>
      </c>
      <c r="M4" s="6" t="s">
        <v>89</v>
      </c>
      <c r="N4" s="23" t="s">
        <v>59</v>
      </c>
      <c r="O4" s="2"/>
      <c r="P4" t="s">
        <v>111</v>
      </c>
      <c r="Q4" s="2" t="s">
        <v>64</v>
      </c>
      <c r="R4" s="2">
        <v>78.590118843699088</v>
      </c>
      <c r="S4" s="4">
        <f t="shared" ref="S4:S16" si="0">R4/3.6</f>
        <v>21.830588567694189</v>
      </c>
      <c r="T4" s="9" t="s">
        <v>26</v>
      </c>
      <c r="U4" t="s">
        <v>31</v>
      </c>
      <c r="V4" s="24" t="s">
        <v>59</v>
      </c>
    </row>
    <row r="5" spans="1:23" x14ac:dyDescent="0.45">
      <c r="A5" t="s">
        <v>112</v>
      </c>
      <c r="B5">
        <v>3</v>
      </c>
      <c r="C5" s="2"/>
      <c r="D5" s="2" t="s">
        <v>82</v>
      </c>
      <c r="E5" s="29" t="s">
        <v>135</v>
      </c>
      <c r="F5" s="2"/>
      <c r="G5" s="2"/>
      <c r="H5" s="20">
        <v>87.06</v>
      </c>
      <c r="I5" s="2">
        <f>180-H5</f>
        <v>92.94</v>
      </c>
      <c r="J5" s="10" t="s">
        <v>78</v>
      </c>
      <c r="K5" s="2">
        <v>89.2</v>
      </c>
      <c r="L5" s="2" t="s">
        <v>35</v>
      </c>
      <c r="M5" s="10" t="s">
        <v>87</v>
      </c>
      <c r="N5" s="23" t="s">
        <v>59</v>
      </c>
      <c r="O5" s="2"/>
      <c r="P5" t="s">
        <v>111</v>
      </c>
      <c r="Q5" s="2" t="s">
        <v>63</v>
      </c>
      <c r="R5" s="2">
        <v>162.3479097563683</v>
      </c>
      <c r="S5" s="4">
        <f t="shared" si="0"/>
        <v>45.096641598991191</v>
      </c>
      <c r="T5" s="7">
        <v>-45</v>
      </c>
      <c r="U5" t="s">
        <v>68</v>
      </c>
      <c r="V5" s="24" t="s">
        <v>59</v>
      </c>
    </row>
    <row r="6" spans="1:23" x14ac:dyDescent="0.45">
      <c r="A6" t="s">
        <v>114</v>
      </c>
      <c r="B6">
        <v>4</v>
      </c>
      <c r="C6" s="2"/>
      <c r="D6" s="2" t="s">
        <v>82</v>
      </c>
      <c r="E6" s="29" t="s">
        <v>135</v>
      </c>
      <c r="F6" s="2"/>
      <c r="G6" s="2"/>
      <c r="H6" s="2">
        <v>93.33</v>
      </c>
      <c r="I6" s="21">
        <f>180-H6</f>
        <v>86.67</v>
      </c>
      <c r="J6" s="10" t="s">
        <v>80</v>
      </c>
      <c r="K6" s="2">
        <v>81.650000000000006</v>
      </c>
      <c r="L6" s="2" t="s">
        <v>34</v>
      </c>
      <c r="M6" s="10" t="s">
        <v>90</v>
      </c>
      <c r="N6" s="23" t="s">
        <v>59</v>
      </c>
      <c r="O6" s="2"/>
      <c r="P6" t="s">
        <v>111</v>
      </c>
      <c r="Q6" s="2" t="s">
        <v>63</v>
      </c>
      <c r="R6" s="2">
        <v>128.9579963751888</v>
      </c>
      <c r="S6" s="4">
        <f t="shared" si="0"/>
        <v>35.821665659774666</v>
      </c>
      <c r="T6" s="9" t="s">
        <v>50</v>
      </c>
      <c r="U6" t="s">
        <v>36</v>
      </c>
      <c r="V6" s="24" t="s">
        <v>59</v>
      </c>
    </row>
    <row r="7" spans="1:23" x14ac:dyDescent="0.45">
      <c r="A7" t="s">
        <v>115</v>
      </c>
      <c r="B7">
        <v>5</v>
      </c>
      <c r="C7" s="14"/>
      <c r="D7" s="2" t="s">
        <v>82</v>
      </c>
      <c r="E7" s="29" t="s">
        <v>135</v>
      </c>
      <c r="F7" s="14"/>
      <c r="G7" s="2"/>
      <c r="H7" s="20">
        <v>82.59</v>
      </c>
      <c r="I7" s="2">
        <f>180-H7</f>
        <v>97.41</v>
      </c>
      <c r="J7" s="10" t="s">
        <v>78</v>
      </c>
      <c r="K7" s="2">
        <v>89.2</v>
      </c>
      <c r="L7" s="2" t="s">
        <v>35</v>
      </c>
      <c r="M7" s="10" t="s">
        <v>87</v>
      </c>
      <c r="N7" s="23" t="s">
        <v>59</v>
      </c>
      <c r="O7" s="2"/>
      <c r="P7" t="s">
        <v>111</v>
      </c>
      <c r="Q7" s="2" t="s">
        <v>64</v>
      </c>
      <c r="R7" s="2">
        <v>123.2658507041499</v>
      </c>
      <c r="S7" s="4">
        <f t="shared" si="0"/>
        <v>34.24051408448608</v>
      </c>
      <c r="T7" s="7">
        <v>34</v>
      </c>
      <c r="U7" t="s">
        <v>37</v>
      </c>
      <c r="V7" s="24" t="s">
        <v>59</v>
      </c>
    </row>
    <row r="8" spans="1:23" x14ac:dyDescent="0.45">
      <c r="A8" t="s">
        <v>116</v>
      </c>
      <c r="B8">
        <v>6</v>
      </c>
      <c r="C8" s="2"/>
      <c r="D8" s="2" t="s">
        <v>82</v>
      </c>
      <c r="E8" s="29" t="s">
        <v>135</v>
      </c>
      <c r="F8" s="2"/>
      <c r="G8" s="2"/>
      <c r="H8" s="2">
        <v>106.53</v>
      </c>
      <c r="I8" s="21">
        <f>180-H8</f>
        <v>73.47</v>
      </c>
      <c r="J8" s="10" t="s">
        <v>80</v>
      </c>
      <c r="K8" s="2">
        <v>81.650000000000006</v>
      </c>
      <c r="L8" s="2" t="s">
        <v>34</v>
      </c>
      <c r="M8" s="10" t="s">
        <v>91</v>
      </c>
      <c r="N8" s="23" t="s">
        <v>59</v>
      </c>
      <c r="O8" s="2"/>
      <c r="P8" t="s">
        <v>111</v>
      </c>
      <c r="Q8" s="2" t="s">
        <v>64</v>
      </c>
      <c r="R8" s="2">
        <v>64.487607536838027</v>
      </c>
      <c r="S8" s="4">
        <f t="shared" si="0"/>
        <v>17.913224315788341</v>
      </c>
      <c r="T8" s="7">
        <v>18</v>
      </c>
      <c r="U8" t="s">
        <v>44</v>
      </c>
      <c r="V8" s="24" t="s">
        <v>59</v>
      </c>
    </row>
    <row r="9" spans="1:23" x14ac:dyDescent="0.45">
      <c r="A9" t="s">
        <v>117</v>
      </c>
      <c r="B9">
        <v>7</v>
      </c>
      <c r="C9" s="14"/>
      <c r="D9" s="2" t="s">
        <v>82</v>
      </c>
      <c r="E9" s="29" t="s">
        <v>135</v>
      </c>
      <c r="F9" s="14"/>
      <c r="G9" s="2"/>
      <c r="H9" s="20">
        <v>34.619999999999997</v>
      </c>
      <c r="I9" s="2">
        <f>180-H9</f>
        <v>145.38</v>
      </c>
      <c r="J9" s="10" t="s">
        <v>80</v>
      </c>
      <c r="K9" s="2">
        <v>30.2</v>
      </c>
      <c r="L9" s="2" t="s">
        <v>35</v>
      </c>
      <c r="M9" s="10" t="s">
        <v>92</v>
      </c>
      <c r="N9" s="23" t="s">
        <v>59</v>
      </c>
      <c r="O9" s="2"/>
      <c r="P9" t="s">
        <v>111</v>
      </c>
      <c r="Q9" s="2" t="s">
        <v>107</v>
      </c>
      <c r="R9" s="2">
        <v>142.78959203576861</v>
      </c>
      <c r="S9" s="4">
        <f t="shared" si="0"/>
        <v>39.663775565491278</v>
      </c>
      <c r="T9" s="7">
        <v>40</v>
      </c>
      <c r="U9" t="s">
        <v>45</v>
      </c>
      <c r="V9" s="24" t="s">
        <v>59</v>
      </c>
    </row>
    <row r="10" spans="1:23" x14ac:dyDescent="0.45">
      <c r="A10" t="s">
        <v>118</v>
      </c>
      <c r="B10">
        <v>8</v>
      </c>
      <c r="C10" s="14"/>
      <c r="D10" s="2" t="s">
        <v>82</v>
      </c>
      <c r="E10" s="29" t="s">
        <v>135</v>
      </c>
      <c r="F10" s="14"/>
      <c r="G10" s="2"/>
      <c r="H10" s="2">
        <v>147.38999999999999</v>
      </c>
      <c r="I10" s="21">
        <f>180-H10</f>
        <v>32.610000000000014</v>
      </c>
      <c r="J10" s="10" t="s">
        <v>84</v>
      </c>
      <c r="K10" s="10">
        <v>29.08</v>
      </c>
      <c r="L10" s="2" t="s">
        <v>34</v>
      </c>
      <c r="M10" s="10" t="s">
        <v>93</v>
      </c>
      <c r="N10" s="23" t="s">
        <v>59</v>
      </c>
      <c r="O10" s="2"/>
      <c r="P10" t="s">
        <v>111</v>
      </c>
      <c r="Q10" s="2" t="s">
        <v>64</v>
      </c>
      <c r="R10" s="2">
        <v>172.81607177655789</v>
      </c>
      <c r="S10" s="4">
        <f t="shared" si="0"/>
        <v>48.004464382377193</v>
      </c>
      <c r="T10" s="7" t="s">
        <v>46</v>
      </c>
      <c r="U10" t="s">
        <v>47</v>
      </c>
      <c r="V10" s="24" t="s">
        <v>59</v>
      </c>
    </row>
    <row r="11" spans="1:23" x14ac:dyDescent="0.45">
      <c r="A11" t="s">
        <v>119</v>
      </c>
      <c r="B11">
        <v>9</v>
      </c>
      <c r="C11" s="14"/>
      <c r="D11" s="2" t="s">
        <v>82</v>
      </c>
      <c r="E11" s="29" t="s">
        <v>135</v>
      </c>
      <c r="F11" s="14"/>
      <c r="G11" s="2"/>
      <c r="H11" s="20">
        <v>21.57</v>
      </c>
      <c r="I11" s="2">
        <f>180-H11</f>
        <v>158.43</v>
      </c>
      <c r="J11" s="10" t="s">
        <v>80</v>
      </c>
      <c r="K11" s="2">
        <v>30.2</v>
      </c>
      <c r="L11" s="2" t="s">
        <v>35</v>
      </c>
      <c r="M11" s="10" t="s">
        <v>94</v>
      </c>
      <c r="N11" s="23" t="s">
        <v>59</v>
      </c>
      <c r="O11" s="2"/>
      <c r="P11" t="s">
        <v>111</v>
      </c>
      <c r="Q11" s="2" t="s">
        <v>64</v>
      </c>
      <c r="R11" s="2">
        <v>181.50343827788959</v>
      </c>
      <c r="S11" s="4">
        <f t="shared" si="0"/>
        <v>50.41762174385822</v>
      </c>
      <c r="T11" s="9" t="s">
        <v>49</v>
      </c>
      <c r="U11" t="s">
        <v>48</v>
      </c>
      <c r="V11" s="22" t="s">
        <v>67</v>
      </c>
      <c r="W11" t="s">
        <v>108</v>
      </c>
    </row>
    <row r="12" spans="1:23" x14ac:dyDescent="0.45">
      <c r="A12" t="s">
        <v>120</v>
      </c>
      <c r="B12">
        <v>10</v>
      </c>
      <c r="C12" s="14"/>
      <c r="D12" s="2" t="s">
        <v>82</v>
      </c>
      <c r="E12" s="29" t="s">
        <v>135</v>
      </c>
      <c r="F12" s="14"/>
      <c r="G12" s="2"/>
      <c r="H12" s="2">
        <v>112.42</v>
      </c>
      <c r="I12" s="21">
        <f>180-H12</f>
        <v>67.58</v>
      </c>
      <c r="J12" s="10" t="s">
        <v>80</v>
      </c>
      <c r="K12" s="2">
        <v>81.650000000000006</v>
      </c>
      <c r="L12" s="2" t="s">
        <v>34</v>
      </c>
      <c r="M12" s="10" t="s">
        <v>91</v>
      </c>
      <c r="N12" s="23" t="s">
        <v>59</v>
      </c>
      <c r="O12" s="2"/>
      <c r="P12" t="s">
        <v>121</v>
      </c>
      <c r="Q12" s="2" t="s">
        <v>64</v>
      </c>
      <c r="R12" s="2">
        <v>80.881372418499211</v>
      </c>
      <c r="S12" s="4">
        <f t="shared" si="0"/>
        <v>22.467047894027559</v>
      </c>
      <c r="T12" s="9" t="s">
        <v>55</v>
      </c>
      <c r="U12" t="s">
        <v>56</v>
      </c>
      <c r="V12" s="26" t="s">
        <v>59</v>
      </c>
      <c r="W12" t="s">
        <v>109</v>
      </c>
    </row>
    <row r="13" spans="1:23" x14ac:dyDescent="0.45">
      <c r="A13" t="s">
        <v>122</v>
      </c>
      <c r="B13">
        <v>11</v>
      </c>
      <c r="C13" s="2"/>
      <c r="D13" s="2" t="s">
        <v>82</v>
      </c>
      <c r="E13" s="29" t="s">
        <v>135</v>
      </c>
      <c r="F13" s="2"/>
      <c r="G13" s="2"/>
      <c r="H13" s="20">
        <v>171.52</v>
      </c>
      <c r="I13" s="2">
        <f>180-H13</f>
        <v>8.4799999999999898</v>
      </c>
      <c r="J13" s="10" t="s">
        <v>85</v>
      </c>
      <c r="K13" s="2">
        <v>162.66999999999999</v>
      </c>
      <c r="L13" s="2" t="s">
        <v>35</v>
      </c>
      <c r="M13" s="10" t="s">
        <v>103</v>
      </c>
      <c r="N13" s="23" t="s">
        <v>59</v>
      </c>
      <c r="O13" s="2"/>
      <c r="P13" t="s">
        <v>111</v>
      </c>
      <c r="Q13" s="2" t="s">
        <v>63</v>
      </c>
      <c r="R13" s="28">
        <v>62</v>
      </c>
      <c r="S13" s="4">
        <f t="shared" si="0"/>
        <v>17.222222222222221</v>
      </c>
      <c r="T13" s="9" t="s">
        <v>104</v>
      </c>
      <c r="U13" t="s">
        <v>76</v>
      </c>
      <c r="V13" s="27" t="s">
        <v>59</v>
      </c>
    </row>
    <row r="14" spans="1:23" x14ac:dyDescent="0.45">
      <c r="A14" t="s">
        <v>123</v>
      </c>
      <c r="B14">
        <v>12</v>
      </c>
      <c r="C14" s="2"/>
      <c r="D14" s="2" t="s">
        <v>82</v>
      </c>
      <c r="E14" s="29" t="s">
        <v>135</v>
      </c>
      <c r="F14" s="2"/>
      <c r="G14" s="2"/>
      <c r="H14" s="2">
        <v>132.51</v>
      </c>
      <c r="I14" s="21">
        <f>180-H14</f>
        <v>47.490000000000009</v>
      </c>
      <c r="J14" s="10" t="s">
        <v>88</v>
      </c>
      <c r="K14" s="2">
        <v>43.46</v>
      </c>
      <c r="L14" s="2" t="s">
        <v>34</v>
      </c>
      <c r="M14" s="10" t="s">
        <v>101</v>
      </c>
      <c r="N14" s="23" t="s">
        <v>59</v>
      </c>
      <c r="O14" s="2"/>
      <c r="P14" t="s">
        <v>111</v>
      </c>
      <c r="Q14" s="2" t="s">
        <v>64</v>
      </c>
      <c r="R14" s="2">
        <v>99.875791624246915</v>
      </c>
      <c r="S14" s="4">
        <f t="shared" si="0"/>
        <v>27.743275451179699</v>
      </c>
      <c r="T14" s="17" t="s">
        <v>65</v>
      </c>
      <c r="U14" t="s">
        <v>66</v>
      </c>
      <c r="V14" s="24" t="s">
        <v>59</v>
      </c>
      <c r="W14" t="s">
        <v>102</v>
      </c>
    </row>
    <row r="15" spans="1:23" x14ac:dyDescent="0.45">
      <c r="A15" t="s">
        <v>124</v>
      </c>
      <c r="B15">
        <v>13</v>
      </c>
      <c r="C15" s="2"/>
      <c r="D15" s="2" t="s">
        <v>82</v>
      </c>
      <c r="E15" s="14" t="s">
        <v>137</v>
      </c>
      <c r="F15" s="20">
        <v>132.16999999999999</v>
      </c>
      <c r="G15" s="2">
        <f t="shared" ref="G14:G25" si="1">180-F15</f>
        <v>47.830000000000013</v>
      </c>
      <c r="H15" s="20">
        <v>2.72</v>
      </c>
      <c r="I15" s="19">
        <f>180-H15</f>
        <v>177.28</v>
      </c>
      <c r="J15" s="10" t="s">
        <v>86</v>
      </c>
      <c r="K15" s="2">
        <v>124.65</v>
      </c>
      <c r="L15" s="2" t="s">
        <v>35</v>
      </c>
      <c r="M15" s="10" t="s">
        <v>96</v>
      </c>
      <c r="N15" s="23" t="s">
        <v>59</v>
      </c>
      <c r="O15" s="2"/>
      <c r="P15" t="s">
        <v>121</v>
      </c>
      <c r="Q15" s="2" t="s">
        <v>63</v>
      </c>
      <c r="R15" s="2">
        <v>231</v>
      </c>
      <c r="S15" s="4">
        <f t="shared" si="0"/>
        <v>64.166666666666671</v>
      </c>
      <c r="T15" s="7">
        <v>64</v>
      </c>
      <c r="U15" t="s">
        <v>68</v>
      </c>
      <c r="V15" s="26" t="s">
        <v>59</v>
      </c>
    </row>
    <row r="16" spans="1:23" x14ac:dyDescent="0.45">
      <c r="A16" t="s">
        <v>125</v>
      </c>
      <c r="B16">
        <v>14</v>
      </c>
      <c r="C16" s="2"/>
      <c r="D16" s="2" t="s">
        <v>82</v>
      </c>
      <c r="E16" s="2" t="s">
        <v>134</v>
      </c>
      <c r="F16" s="21">
        <v>72.260000000000005</v>
      </c>
      <c r="G16" s="2">
        <f t="shared" si="1"/>
        <v>107.74</v>
      </c>
      <c r="H16" s="19">
        <v>2.37</v>
      </c>
      <c r="I16" s="19">
        <f>180-H16</f>
        <v>177.63</v>
      </c>
      <c r="J16" s="10" t="s">
        <v>80</v>
      </c>
      <c r="K16" s="2">
        <v>81.650000000000006</v>
      </c>
      <c r="L16" s="2" t="s">
        <v>34</v>
      </c>
      <c r="M16" s="10" t="s">
        <v>90</v>
      </c>
      <c r="N16" s="23" t="s">
        <v>59</v>
      </c>
      <c r="O16" s="2"/>
      <c r="P16" t="s">
        <v>111</v>
      </c>
      <c r="Q16" s="2" t="s">
        <v>64</v>
      </c>
      <c r="R16" s="2">
        <v>75</v>
      </c>
      <c r="S16" s="4">
        <f t="shared" si="0"/>
        <v>20.833333333333332</v>
      </c>
      <c r="T16" s="7">
        <v>21</v>
      </c>
      <c r="U16" t="s">
        <v>75</v>
      </c>
      <c r="V16" s="24" t="s">
        <v>59</v>
      </c>
    </row>
    <row r="17" spans="1:23" x14ac:dyDescent="0.45">
      <c r="A17" t="s">
        <v>126</v>
      </c>
      <c r="B17">
        <v>15</v>
      </c>
      <c r="C17" s="2"/>
      <c r="D17" s="2" t="s">
        <v>82</v>
      </c>
      <c r="E17" s="2" t="s">
        <v>134</v>
      </c>
      <c r="F17" s="20">
        <v>59.36</v>
      </c>
      <c r="G17" s="2">
        <f t="shared" si="1"/>
        <v>120.64</v>
      </c>
      <c r="H17" s="19">
        <v>31</v>
      </c>
      <c r="I17" s="19">
        <f>180-H17</f>
        <v>149</v>
      </c>
      <c r="J17" s="10" t="s">
        <v>88</v>
      </c>
      <c r="K17" s="2">
        <v>58.91</v>
      </c>
      <c r="L17" s="2" t="s">
        <v>35</v>
      </c>
      <c r="M17" s="10" t="s">
        <v>97</v>
      </c>
      <c r="N17" s="23" t="s">
        <v>59</v>
      </c>
      <c r="O17" s="2"/>
      <c r="P17" t="s">
        <v>121</v>
      </c>
      <c r="Q17" s="2" t="s">
        <v>63</v>
      </c>
      <c r="R17" s="2">
        <v>97</v>
      </c>
      <c r="S17" s="4">
        <f>R17/3.6</f>
        <v>26.944444444444443</v>
      </c>
      <c r="T17" s="9" t="s">
        <v>99</v>
      </c>
      <c r="U17" t="s">
        <v>100</v>
      </c>
      <c r="V17" s="26" t="s">
        <v>59</v>
      </c>
    </row>
    <row r="18" spans="1:23" x14ac:dyDescent="0.45">
      <c r="A18" t="s">
        <v>105</v>
      </c>
      <c r="B18">
        <v>16</v>
      </c>
      <c r="C18" s="2"/>
      <c r="D18" s="2" t="s">
        <v>82</v>
      </c>
      <c r="E18" s="2" t="s">
        <v>134</v>
      </c>
      <c r="F18" s="21">
        <v>55.36</v>
      </c>
      <c r="G18" s="2">
        <f t="shared" si="1"/>
        <v>124.64</v>
      </c>
      <c r="H18" s="19">
        <v>178.37</v>
      </c>
      <c r="I18" s="19">
        <f>180-H18</f>
        <v>1.6299999999999955</v>
      </c>
      <c r="J18" s="10" t="s">
        <v>80</v>
      </c>
      <c r="K18" s="2">
        <v>81.650000000000006</v>
      </c>
      <c r="L18" s="2" t="s">
        <v>34</v>
      </c>
      <c r="M18" s="10" t="s">
        <v>90</v>
      </c>
      <c r="N18" s="23" t="s">
        <v>59</v>
      </c>
      <c r="O18" s="2"/>
      <c r="P18" t="s">
        <v>111</v>
      </c>
      <c r="Q18" s="2" t="s">
        <v>63</v>
      </c>
      <c r="R18" s="2">
        <v>256.20518292590339</v>
      </c>
      <c r="S18" s="4">
        <f>R18/3.6</f>
        <v>71.168106368306496</v>
      </c>
      <c r="T18" s="9">
        <v>-71</v>
      </c>
      <c r="U18" t="s">
        <v>71</v>
      </c>
      <c r="V18" s="24" t="s">
        <v>59</v>
      </c>
    </row>
    <row r="19" spans="1:23" x14ac:dyDescent="0.45">
      <c r="A19" t="s">
        <v>127</v>
      </c>
      <c r="B19">
        <v>17</v>
      </c>
      <c r="C19" s="2"/>
      <c r="D19" s="2" t="s">
        <v>82</v>
      </c>
      <c r="E19" s="2" t="s">
        <v>134</v>
      </c>
      <c r="F19" s="20">
        <v>7.93</v>
      </c>
      <c r="G19" s="2">
        <f t="shared" si="1"/>
        <v>172.07</v>
      </c>
      <c r="H19" s="19">
        <v>125.22</v>
      </c>
      <c r="I19" s="19">
        <f>180-H19</f>
        <v>54.78</v>
      </c>
      <c r="J19" s="10" t="s">
        <v>80</v>
      </c>
      <c r="K19" s="2">
        <v>30.2</v>
      </c>
      <c r="L19" s="2" t="s">
        <v>35</v>
      </c>
      <c r="M19" s="10" t="s">
        <v>95</v>
      </c>
      <c r="N19" s="23" t="s">
        <v>59</v>
      </c>
      <c r="O19" s="2"/>
      <c r="P19" t="s">
        <v>121</v>
      </c>
      <c r="Q19" s="2" t="s">
        <v>63</v>
      </c>
      <c r="R19" s="2">
        <v>141.28904349923499</v>
      </c>
      <c r="S19" s="4">
        <f>R19/3.6</f>
        <v>39.246956527565274</v>
      </c>
      <c r="T19" s="7" t="s">
        <v>74</v>
      </c>
      <c r="U19" t="s">
        <v>68</v>
      </c>
      <c r="V19" s="26" t="s">
        <v>59</v>
      </c>
      <c r="W19" t="s">
        <v>131</v>
      </c>
    </row>
    <row r="20" spans="1:23" x14ac:dyDescent="0.45">
      <c r="A20" t="s">
        <v>128</v>
      </c>
      <c r="B20">
        <v>18</v>
      </c>
      <c r="C20" s="2"/>
      <c r="D20" s="2" t="s">
        <v>82</v>
      </c>
      <c r="E20" s="30" t="s">
        <v>135</v>
      </c>
      <c r="F20" s="2">
        <v>10.41</v>
      </c>
      <c r="G20" s="2">
        <f t="shared" si="1"/>
        <v>169.59</v>
      </c>
      <c r="H20" s="19">
        <v>93.13</v>
      </c>
      <c r="I20" s="21">
        <f>180-H20</f>
        <v>86.87</v>
      </c>
      <c r="J20" s="10" t="s">
        <v>80</v>
      </c>
      <c r="K20" s="2">
        <v>89.2</v>
      </c>
      <c r="L20" s="2" t="s">
        <v>34</v>
      </c>
      <c r="M20" s="10" t="s">
        <v>87</v>
      </c>
      <c r="N20" s="23" t="s">
        <v>59</v>
      </c>
      <c r="O20" s="2"/>
      <c r="P20" t="s">
        <v>121</v>
      </c>
      <c r="Q20" s="2" t="s">
        <v>64</v>
      </c>
      <c r="R20" s="2">
        <v>281.76845146793443</v>
      </c>
      <c r="S20" s="4">
        <f>R20/3.6</f>
        <v>78.26901429664845</v>
      </c>
      <c r="T20" s="9" t="s">
        <v>98</v>
      </c>
      <c r="U20" t="s">
        <v>61</v>
      </c>
      <c r="V20" s="26" t="s">
        <v>59</v>
      </c>
    </row>
    <row r="21" spans="1:23" x14ac:dyDescent="0.45">
      <c r="A21" t="s">
        <v>129</v>
      </c>
      <c r="B21">
        <v>19</v>
      </c>
      <c r="C21" s="2"/>
      <c r="D21" s="2" t="s">
        <v>82</v>
      </c>
      <c r="E21" s="2" t="s">
        <v>134</v>
      </c>
      <c r="F21" s="20">
        <v>5.98</v>
      </c>
      <c r="G21" s="2">
        <f t="shared" si="1"/>
        <v>174.02</v>
      </c>
      <c r="H21" s="19">
        <v>23.23</v>
      </c>
      <c r="I21" s="19">
        <f>180-H21</f>
        <v>156.77000000000001</v>
      </c>
      <c r="J21" s="10" t="s">
        <v>80</v>
      </c>
      <c r="K21" s="2">
        <v>30.2</v>
      </c>
      <c r="L21" s="2" t="s">
        <v>35</v>
      </c>
      <c r="M21" s="10" t="s">
        <v>95</v>
      </c>
      <c r="N21" s="23" t="s">
        <v>59</v>
      </c>
      <c r="O21" s="2"/>
      <c r="P21" t="s">
        <v>111</v>
      </c>
      <c r="Q21" s="2" t="s">
        <v>64</v>
      </c>
      <c r="R21" s="2">
        <v>33.610401442582663</v>
      </c>
      <c r="S21" s="4">
        <f>R21/3.6</f>
        <v>9.3362226229396281</v>
      </c>
      <c r="T21" s="17" t="s">
        <v>79</v>
      </c>
      <c r="U21" t="s">
        <v>37</v>
      </c>
      <c r="V21" s="24" t="s">
        <v>59</v>
      </c>
    </row>
    <row r="22" spans="1:23" x14ac:dyDescent="0.45">
      <c r="A22" t="s">
        <v>130</v>
      </c>
      <c r="B22">
        <v>20</v>
      </c>
      <c r="C22" s="2"/>
      <c r="D22" s="2" t="s">
        <v>82</v>
      </c>
      <c r="E22" s="2" t="s">
        <v>134</v>
      </c>
      <c r="F22" s="21">
        <v>63.61</v>
      </c>
      <c r="G22" s="2">
        <f t="shared" si="1"/>
        <v>116.39</v>
      </c>
      <c r="H22" s="19">
        <v>111.34</v>
      </c>
      <c r="I22" s="19">
        <f>180-H22</f>
        <v>68.66</v>
      </c>
      <c r="J22" s="10" t="s">
        <v>80</v>
      </c>
      <c r="K22" s="2">
        <v>89.2</v>
      </c>
      <c r="L22" s="2" t="s">
        <v>34</v>
      </c>
      <c r="M22" s="10" t="s">
        <v>91</v>
      </c>
      <c r="N22" s="23" t="s">
        <v>59</v>
      </c>
      <c r="O22" s="2"/>
      <c r="P22" t="s">
        <v>111</v>
      </c>
      <c r="Q22" s="2" t="s">
        <v>107</v>
      </c>
      <c r="R22" s="2">
        <v>178.62447718862799</v>
      </c>
      <c r="S22" s="4">
        <f>R22/3.6</f>
        <v>49.617910330174439</v>
      </c>
      <c r="T22" s="7" t="s">
        <v>72</v>
      </c>
      <c r="U22" t="s">
        <v>45</v>
      </c>
      <c r="V22" s="24" t="s">
        <v>59</v>
      </c>
    </row>
    <row r="23" spans="1:23" x14ac:dyDescent="0.45">
      <c r="A23" t="s">
        <v>136</v>
      </c>
      <c r="B23">
        <v>21</v>
      </c>
      <c r="C23" s="2"/>
      <c r="D23" s="2" t="s">
        <v>82</v>
      </c>
      <c r="E23" s="2" t="s">
        <v>134</v>
      </c>
      <c r="F23" s="20">
        <v>72.599999999999994</v>
      </c>
      <c r="G23" s="2">
        <f t="shared" si="1"/>
        <v>107.4</v>
      </c>
      <c r="H23" s="19">
        <v>35.79</v>
      </c>
      <c r="I23" s="19">
        <f>180-H23</f>
        <v>144.21</v>
      </c>
      <c r="J23" s="10" t="s">
        <v>84</v>
      </c>
      <c r="K23" s="10">
        <v>76.790000000000006</v>
      </c>
      <c r="L23" s="2" t="s">
        <v>35</v>
      </c>
      <c r="M23" s="10" t="s">
        <v>93</v>
      </c>
      <c r="N23" s="23" t="s">
        <v>59</v>
      </c>
      <c r="O23" s="2"/>
      <c r="P23" t="s">
        <v>111</v>
      </c>
      <c r="Q23" s="2" t="s">
        <v>64</v>
      </c>
      <c r="R23" s="2">
        <v>107.1156185557862</v>
      </c>
      <c r="S23" s="4">
        <f>R23/3.6</f>
        <v>29.754338487718389</v>
      </c>
      <c r="T23" s="7" t="s">
        <v>73</v>
      </c>
      <c r="U23" t="s">
        <v>70</v>
      </c>
      <c r="V23" s="24" t="s">
        <v>59</v>
      </c>
    </row>
    <row r="24" spans="1:23" x14ac:dyDescent="0.45">
      <c r="A24" t="s">
        <v>106</v>
      </c>
      <c r="B24">
        <v>22</v>
      </c>
      <c r="C24" s="2"/>
      <c r="D24" s="2" t="s">
        <v>82</v>
      </c>
      <c r="E24" s="2" t="s">
        <v>134</v>
      </c>
      <c r="F24" s="2">
        <v>96.71</v>
      </c>
      <c r="G24" s="21">
        <f t="shared" si="1"/>
        <v>83.29</v>
      </c>
      <c r="H24" s="19">
        <v>137.74</v>
      </c>
      <c r="I24" s="19">
        <f>180-H24</f>
        <v>42.259999999999991</v>
      </c>
      <c r="J24" s="10" t="s">
        <v>80</v>
      </c>
      <c r="K24" s="2">
        <v>81.650000000000006</v>
      </c>
      <c r="L24" s="2" t="s">
        <v>34</v>
      </c>
      <c r="M24" s="10" t="s">
        <v>96</v>
      </c>
      <c r="N24" s="23" t="s">
        <v>59</v>
      </c>
      <c r="O24" s="2"/>
      <c r="P24" t="s">
        <v>111</v>
      </c>
      <c r="Q24" s="2" t="s">
        <v>64</v>
      </c>
      <c r="R24" s="2">
        <v>319.50584944686602</v>
      </c>
      <c r="S24" s="4">
        <f>R24/3.6</f>
        <v>88.751624846351675</v>
      </c>
      <c r="T24" s="7">
        <v>89</v>
      </c>
      <c r="U24" t="s">
        <v>29</v>
      </c>
      <c r="V24" s="24" t="s">
        <v>59</v>
      </c>
    </row>
    <row r="25" spans="1:23" x14ac:dyDescent="0.45">
      <c r="A25" t="s">
        <v>23</v>
      </c>
      <c r="B25">
        <v>23</v>
      </c>
      <c r="C25" s="2"/>
      <c r="D25" s="2" t="s">
        <v>82</v>
      </c>
      <c r="E25" s="2" t="s">
        <v>134</v>
      </c>
      <c r="F25" s="20">
        <v>2.9808617978056868</v>
      </c>
      <c r="G25" s="2">
        <f t="shared" si="1"/>
        <v>177.01913820219431</v>
      </c>
      <c r="H25" s="19">
        <v>97.07</v>
      </c>
      <c r="I25" s="19">
        <f>180-H25</f>
        <v>82.93</v>
      </c>
      <c r="J25" s="10" t="s">
        <v>80</v>
      </c>
      <c r="K25" s="2">
        <v>30.2</v>
      </c>
      <c r="L25" s="2" t="s">
        <v>35</v>
      </c>
      <c r="M25" s="10" t="s">
        <v>90</v>
      </c>
      <c r="N25" s="23" t="s">
        <v>59</v>
      </c>
      <c r="O25" s="2"/>
      <c r="P25" t="s">
        <v>111</v>
      </c>
      <c r="Q25" s="2" t="s">
        <v>63</v>
      </c>
      <c r="R25" s="2">
        <v>95.711958118962571</v>
      </c>
      <c r="S25" s="4">
        <f>R25/3.6</f>
        <v>26.586655033045158</v>
      </c>
      <c r="T25" s="7">
        <v>-27</v>
      </c>
      <c r="U25" t="s">
        <v>69</v>
      </c>
      <c r="V25" s="24" t="s">
        <v>59</v>
      </c>
    </row>
    <row r="27" spans="1:23" x14ac:dyDescent="0.45">
      <c r="F27" t="s">
        <v>34</v>
      </c>
      <c r="G27" t="s">
        <v>35</v>
      </c>
      <c r="H27" t="s">
        <v>77</v>
      </c>
    </row>
    <row r="28" spans="1:23" x14ac:dyDescent="0.45">
      <c r="C28">
        <v>4</v>
      </c>
      <c r="F28">
        <v>650</v>
      </c>
      <c r="G28">
        <v>580</v>
      </c>
      <c r="H28">
        <v>470</v>
      </c>
    </row>
    <row r="29" spans="1:23" x14ac:dyDescent="0.45">
      <c r="C29">
        <v>2</v>
      </c>
      <c r="F29">
        <v>560</v>
      </c>
      <c r="G29">
        <v>780</v>
      </c>
      <c r="H29">
        <v>500</v>
      </c>
    </row>
    <row r="30" spans="1:23" x14ac:dyDescent="0.45">
      <c r="C30">
        <v>3</v>
      </c>
      <c r="F30">
        <v>580</v>
      </c>
      <c r="G30">
        <v>470</v>
      </c>
      <c r="H30">
        <v>420</v>
      </c>
    </row>
    <row r="31" spans="1:23" x14ac:dyDescent="0.45">
      <c r="C31">
        <v>6</v>
      </c>
      <c r="F31">
        <v>780</v>
      </c>
      <c r="G31">
        <v>500</v>
      </c>
      <c r="H31">
        <v>650</v>
      </c>
    </row>
    <row r="32" spans="1:23" x14ac:dyDescent="0.45">
      <c r="C32">
        <v>7</v>
      </c>
      <c r="F32" s="25">
        <v>470</v>
      </c>
      <c r="G32" s="25">
        <v>420</v>
      </c>
      <c r="H32" s="25">
        <v>560</v>
      </c>
    </row>
    <row r="33" spans="3:8" x14ac:dyDescent="0.45">
      <c r="C33">
        <v>9</v>
      </c>
      <c r="F33">
        <v>500</v>
      </c>
      <c r="G33">
        <v>650</v>
      </c>
      <c r="H33">
        <v>580</v>
      </c>
    </row>
    <row r="34" spans="3:8" x14ac:dyDescent="0.45">
      <c r="C34">
        <v>8</v>
      </c>
      <c r="F34">
        <v>420</v>
      </c>
      <c r="G34">
        <v>560</v>
      </c>
      <c r="H34">
        <v>780</v>
      </c>
    </row>
  </sheetData>
  <mergeCells count="1">
    <mergeCell ref="R1:T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DCFE-1E50-4754-8D21-7C33E167241C}">
  <dimension ref="A1:K24"/>
  <sheetViews>
    <sheetView workbookViewId="0">
      <selection activeCell="K7" sqref="K7"/>
    </sheetView>
  </sheetViews>
  <sheetFormatPr defaultRowHeight="15.85" customHeight="1" x14ac:dyDescent="0.45"/>
  <cols>
    <col min="1" max="2" width="11.86328125" customWidth="1"/>
    <col min="3" max="3" width="24.53125" customWidth="1"/>
    <col min="5" max="5" width="8.796875" customWidth="1"/>
    <col min="6" max="6" width="14.9296875" customWidth="1"/>
    <col min="7" max="7" width="24.6640625" customWidth="1"/>
    <col min="9" max="9" width="8.796875" customWidth="1"/>
    <col min="10" max="10" width="14.9296875" customWidth="1"/>
    <col min="11" max="11" width="24.6640625" customWidth="1"/>
  </cols>
  <sheetData>
    <row r="1" spans="1:11" ht="15.85" customHeight="1" x14ac:dyDescent="0.45">
      <c r="A1" t="s">
        <v>57</v>
      </c>
      <c r="E1" t="s">
        <v>58</v>
      </c>
      <c r="I1" t="s">
        <v>60</v>
      </c>
    </row>
    <row r="2" spans="1:11" ht="15.85" customHeight="1" x14ac:dyDescent="0.45">
      <c r="A2" s="11" t="s">
        <v>27</v>
      </c>
      <c r="B2" s="11" t="s">
        <v>33</v>
      </c>
      <c r="C2" s="11" t="s">
        <v>51</v>
      </c>
      <c r="E2" s="11" t="s">
        <v>27</v>
      </c>
      <c r="F2" s="11" t="s">
        <v>33</v>
      </c>
      <c r="G2" s="11" t="s">
        <v>51</v>
      </c>
      <c r="I2" s="11" t="s">
        <v>27</v>
      </c>
      <c r="J2" s="11" t="s">
        <v>33</v>
      </c>
      <c r="K2" s="11" t="s">
        <v>51</v>
      </c>
    </row>
    <row r="3" spans="1:11" ht="15.85" customHeight="1" x14ac:dyDescent="0.45">
      <c r="A3" s="11">
        <v>650</v>
      </c>
      <c r="B3" s="11" t="s">
        <v>52</v>
      </c>
      <c r="C3" s="13">
        <v>-68.150000000000006</v>
      </c>
      <c r="E3" s="11">
        <v>650</v>
      </c>
      <c r="F3" s="11" t="s">
        <v>52</v>
      </c>
      <c r="G3" s="13">
        <v>-68.150000000000006</v>
      </c>
      <c r="I3" s="11">
        <v>650</v>
      </c>
      <c r="J3" s="11" t="s">
        <v>52</v>
      </c>
      <c r="K3" s="13">
        <v>-68.150000000000006</v>
      </c>
    </row>
    <row r="4" spans="1:11" ht="15.85" customHeight="1" x14ac:dyDescent="0.45">
      <c r="A4" s="11"/>
      <c r="B4" s="11" t="s">
        <v>53</v>
      </c>
      <c r="C4" s="13">
        <v>81.650000000000006</v>
      </c>
      <c r="E4" s="11"/>
      <c r="F4" s="16" t="s">
        <v>53</v>
      </c>
      <c r="G4" s="13">
        <v>81.650000000000006</v>
      </c>
      <c r="I4" s="11"/>
      <c r="J4" s="16" t="s">
        <v>53</v>
      </c>
      <c r="K4" s="13">
        <v>81.650000000000006</v>
      </c>
    </row>
    <row r="5" spans="1:11" ht="15.85" customHeight="1" x14ac:dyDescent="0.45">
      <c r="A5" s="11"/>
      <c r="B5" t="s">
        <v>54</v>
      </c>
      <c r="C5" s="13">
        <v>-30.2</v>
      </c>
      <c r="E5" s="11"/>
      <c r="F5" s="15" t="s">
        <v>54</v>
      </c>
      <c r="G5" s="13">
        <v>-30.2</v>
      </c>
      <c r="I5" s="11"/>
      <c r="J5" s="15" t="s">
        <v>54</v>
      </c>
      <c r="K5" s="13">
        <v>-30.2</v>
      </c>
    </row>
    <row r="6" spans="1:11" ht="15.85" customHeight="1" x14ac:dyDescent="0.45">
      <c r="A6" s="11">
        <v>420</v>
      </c>
      <c r="B6" s="11" t="s">
        <v>52</v>
      </c>
      <c r="C6" s="13">
        <v>-77.63</v>
      </c>
      <c r="E6" s="11">
        <v>420</v>
      </c>
      <c r="F6" s="11" t="s">
        <v>52</v>
      </c>
      <c r="G6" s="13">
        <v>-77.63</v>
      </c>
      <c r="I6" s="11">
        <v>420</v>
      </c>
      <c r="J6" s="11" t="s">
        <v>52</v>
      </c>
      <c r="K6" s="13">
        <v>-77.63</v>
      </c>
    </row>
    <row r="7" spans="1:11" ht="15.85" customHeight="1" x14ac:dyDescent="0.45">
      <c r="A7" s="11"/>
      <c r="B7" s="11" t="s">
        <v>53</v>
      </c>
      <c r="C7" s="13">
        <v>43.46</v>
      </c>
      <c r="E7" s="11"/>
      <c r="F7" s="16" t="s">
        <v>53</v>
      </c>
      <c r="G7" s="13">
        <v>43.46</v>
      </c>
      <c r="I7" s="11"/>
      <c r="J7" s="16" t="s">
        <v>53</v>
      </c>
      <c r="K7" s="13">
        <v>43.46</v>
      </c>
    </row>
    <row r="8" spans="1:11" ht="15.85" customHeight="1" x14ac:dyDescent="0.45">
      <c r="A8" s="11"/>
      <c r="B8" t="s">
        <v>54</v>
      </c>
      <c r="C8" s="13">
        <v>-58.91</v>
      </c>
      <c r="E8" s="11"/>
      <c r="F8" s="15" t="s">
        <v>54</v>
      </c>
      <c r="G8" s="13">
        <v>-58.91</v>
      </c>
      <c r="I8" s="11"/>
      <c r="J8" s="15" t="s">
        <v>54</v>
      </c>
      <c r="K8" s="13">
        <v>-58.91</v>
      </c>
    </row>
    <row r="9" spans="1:11" ht="15.85" customHeight="1" x14ac:dyDescent="0.45">
      <c r="A9" s="11">
        <v>500</v>
      </c>
      <c r="B9" s="11" t="s">
        <v>52</v>
      </c>
      <c r="C9" s="13">
        <v>-60.59</v>
      </c>
      <c r="E9" s="11">
        <v>500</v>
      </c>
      <c r="F9" s="11" t="s">
        <v>52</v>
      </c>
      <c r="G9" s="13">
        <v>-60.59</v>
      </c>
      <c r="I9" s="11">
        <v>500</v>
      </c>
      <c r="J9" s="11" t="s">
        <v>52</v>
      </c>
      <c r="K9" s="13">
        <v>-60.59</v>
      </c>
    </row>
    <row r="10" spans="1:11" ht="15.85" customHeight="1" x14ac:dyDescent="0.45">
      <c r="A10" s="11"/>
      <c r="B10" s="11" t="s">
        <v>53</v>
      </c>
      <c r="C10" s="13">
        <v>29.49</v>
      </c>
      <c r="E10" s="11"/>
      <c r="F10" s="16" t="s">
        <v>53</v>
      </c>
      <c r="G10" s="13">
        <v>29.49</v>
      </c>
      <c r="I10" s="11"/>
      <c r="J10" s="16" t="s">
        <v>53</v>
      </c>
      <c r="K10" s="13">
        <v>29.49</v>
      </c>
    </row>
    <row r="11" spans="1:11" ht="15.85" customHeight="1" x14ac:dyDescent="0.45">
      <c r="A11" s="11"/>
      <c r="B11" t="s">
        <v>54</v>
      </c>
      <c r="C11" s="13">
        <v>-89.92</v>
      </c>
      <c r="E11" s="11"/>
      <c r="F11" s="15" t="s">
        <v>54</v>
      </c>
      <c r="G11" s="13">
        <v>-89.92</v>
      </c>
      <c r="I11" s="11"/>
      <c r="J11" s="15" t="s">
        <v>54</v>
      </c>
      <c r="K11" s="13">
        <v>-89.92</v>
      </c>
    </row>
    <row r="12" spans="1:11" ht="15.85" customHeight="1" x14ac:dyDescent="0.45">
      <c r="A12" s="11">
        <v>470</v>
      </c>
      <c r="B12" s="11" t="s">
        <v>52</v>
      </c>
      <c r="C12" s="13">
        <v>-35.06</v>
      </c>
      <c r="E12" s="11">
        <v>470</v>
      </c>
      <c r="F12" s="11" t="s">
        <v>52</v>
      </c>
      <c r="G12" s="13">
        <v>-35.06</v>
      </c>
      <c r="I12" s="11">
        <v>470</v>
      </c>
      <c r="J12" s="11" t="s">
        <v>52</v>
      </c>
      <c r="K12" s="13">
        <v>-35.06</v>
      </c>
    </row>
    <row r="13" spans="1:11" ht="15.85" customHeight="1" x14ac:dyDescent="0.45">
      <c r="A13" s="11"/>
      <c r="B13" s="11" t="s">
        <v>53</v>
      </c>
      <c r="C13" s="13">
        <v>25</v>
      </c>
      <c r="E13" s="11"/>
      <c r="F13" s="16" t="s">
        <v>53</v>
      </c>
      <c r="G13" s="13">
        <v>25</v>
      </c>
      <c r="I13" s="11"/>
      <c r="J13" s="16" t="s">
        <v>53</v>
      </c>
      <c r="K13" s="13">
        <v>25</v>
      </c>
    </row>
    <row r="14" spans="1:11" ht="15.85" customHeight="1" x14ac:dyDescent="0.45">
      <c r="A14" s="11"/>
      <c r="B14" t="s">
        <v>54</v>
      </c>
      <c r="C14" s="13">
        <v>-119.94</v>
      </c>
      <c r="E14" s="11"/>
      <c r="F14" s="15" t="s">
        <v>54</v>
      </c>
      <c r="G14" s="13">
        <v>-119.94</v>
      </c>
      <c r="I14" s="11"/>
      <c r="J14" s="15" t="s">
        <v>54</v>
      </c>
      <c r="K14" s="13">
        <v>-119.94</v>
      </c>
    </row>
    <row r="15" spans="1:11" ht="15.85" customHeight="1" x14ac:dyDescent="0.45">
      <c r="A15" s="11">
        <v>780</v>
      </c>
      <c r="B15" s="11" t="s">
        <v>52</v>
      </c>
      <c r="C15" s="13">
        <v>-23.53</v>
      </c>
      <c r="E15" s="11">
        <v>780</v>
      </c>
      <c r="F15" s="11" t="s">
        <v>52</v>
      </c>
      <c r="G15" s="13">
        <v>-23.53</v>
      </c>
      <c r="I15" s="11">
        <v>780</v>
      </c>
      <c r="J15" s="11" t="s">
        <v>52</v>
      </c>
      <c r="K15" s="13">
        <v>-6.89</v>
      </c>
    </row>
    <row r="16" spans="1:11" ht="15.85" customHeight="1" x14ac:dyDescent="0.45">
      <c r="A16" s="11"/>
      <c r="B16" s="11" t="s">
        <v>53</v>
      </c>
      <c r="C16" s="13">
        <v>17.850000000000001</v>
      </c>
      <c r="E16" s="11"/>
      <c r="F16" s="16" t="s">
        <v>53</v>
      </c>
      <c r="G16" s="13">
        <v>17.850000000000001</v>
      </c>
      <c r="I16" s="11"/>
      <c r="J16" s="16" t="s">
        <v>53</v>
      </c>
      <c r="K16" s="13">
        <v>10.44</v>
      </c>
    </row>
    <row r="17" spans="1:11" ht="15.85" customHeight="1" x14ac:dyDescent="0.45">
      <c r="A17" s="11"/>
      <c r="B17" t="s">
        <v>54</v>
      </c>
      <c r="C17" s="13">
        <v>-138.62</v>
      </c>
      <c r="E17" s="11"/>
      <c r="F17" s="15" t="s">
        <v>54</v>
      </c>
      <c r="G17" s="13">
        <v>-138.62</v>
      </c>
      <c r="I17" s="11"/>
      <c r="J17" s="15" t="s">
        <v>54</v>
      </c>
      <c r="K17" s="13">
        <v>-162.66999999999999</v>
      </c>
    </row>
    <row r="18" spans="1:11" ht="15.85" customHeight="1" x14ac:dyDescent="0.45">
      <c r="A18" s="11">
        <v>580</v>
      </c>
      <c r="B18" s="11" t="s">
        <v>52</v>
      </c>
      <c r="C18" s="13">
        <v>149.32</v>
      </c>
      <c r="E18" s="11">
        <v>580</v>
      </c>
      <c r="F18" s="11" t="s">
        <v>52</v>
      </c>
      <c r="G18" s="13">
        <v>-24.64</v>
      </c>
      <c r="I18" s="11">
        <v>580</v>
      </c>
      <c r="J18" s="11" t="s">
        <v>52</v>
      </c>
      <c r="K18" s="13">
        <v>-24.64</v>
      </c>
    </row>
    <row r="19" spans="1:11" ht="15.85" customHeight="1" x14ac:dyDescent="0.45">
      <c r="A19" s="11"/>
      <c r="B19" s="11" t="s">
        <v>53</v>
      </c>
      <c r="C19" s="13">
        <v>-18.010000000000002</v>
      </c>
      <c r="E19" s="11"/>
      <c r="F19" s="16" t="s">
        <v>53</v>
      </c>
      <c r="G19" s="13">
        <v>30.71</v>
      </c>
      <c r="I19" s="11"/>
      <c r="J19" s="16" t="s">
        <v>53</v>
      </c>
      <c r="K19" s="13">
        <v>30.71</v>
      </c>
    </row>
    <row r="20" spans="1:11" ht="15.85" customHeight="1" x14ac:dyDescent="0.45">
      <c r="A20" s="11"/>
      <c r="B20" t="s">
        <v>54</v>
      </c>
      <c r="C20" s="13">
        <v>12.67</v>
      </c>
      <c r="E20" s="11"/>
      <c r="F20" s="15" t="s">
        <v>54</v>
      </c>
      <c r="G20" s="13">
        <v>-124.65</v>
      </c>
      <c r="I20" s="11"/>
      <c r="J20" s="15" t="s">
        <v>54</v>
      </c>
      <c r="K20" s="13">
        <v>-124.65</v>
      </c>
    </row>
    <row r="21" spans="1:11" ht="15.85" customHeight="1" x14ac:dyDescent="0.45">
      <c r="A21" s="11">
        <v>560</v>
      </c>
      <c r="B21" s="11" t="s">
        <v>52</v>
      </c>
      <c r="C21" s="13">
        <v>135.68</v>
      </c>
      <c r="E21" s="11">
        <v>560</v>
      </c>
      <c r="F21" s="11" t="s">
        <v>52</v>
      </c>
      <c r="G21" s="13">
        <v>-74.13</v>
      </c>
      <c r="I21" s="11">
        <v>560</v>
      </c>
      <c r="J21" s="11" t="s">
        <v>52</v>
      </c>
      <c r="K21" s="13">
        <v>-74.13</v>
      </c>
    </row>
    <row r="22" spans="1:11" ht="15.85" customHeight="1" x14ac:dyDescent="0.45">
      <c r="A22" s="11"/>
      <c r="B22" s="11" t="s">
        <v>53</v>
      </c>
      <c r="C22" s="13">
        <v>-34.11</v>
      </c>
      <c r="E22" s="11"/>
      <c r="F22" s="16" t="s">
        <v>53</v>
      </c>
      <c r="G22" s="13">
        <v>29.08</v>
      </c>
      <c r="I22" s="11"/>
      <c r="J22" s="16" t="s">
        <v>53</v>
      </c>
      <c r="K22" s="13">
        <v>29.08</v>
      </c>
    </row>
    <row r="23" spans="1:11" ht="15.85" customHeight="1" x14ac:dyDescent="0.45">
      <c r="A23" s="11"/>
      <c r="B23" t="s">
        <v>54</v>
      </c>
      <c r="C23" s="13">
        <v>10.210000000000001</v>
      </c>
      <c r="E23" s="11"/>
      <c r="F23" s="15" t="s">
        <v>54</v>
      </c>
      <c r="G23" s="13">
        <v>-76.790000000000006</v>
      </c>
      <c r="I23" s="11"/>
      <c r="J23" s="15" t="s">
        <v>54</v>
      </c>
      <c r="K23" s="13">
        <v>-76.790000000000006</v>
      </c>
    </row>
    <row r="24" spans="1:11" ht="15.85" customHeight="1" x14ac:dyDescent="0.45">
      <c r="A24" s="11"/>
      <c r="B24" s="11"/>
      <c r="C2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ED0F-1C1B-4AC3-A2AE-6B6B09A5C16A}">
  <dimension ref="A1:D25"/>
  <sheetViews>
    <sheetView workbookViewId="0">
      <selection activeCell="D2" sqref="D2:D25"/>
    </sheetView>
  </sheetViews>
  <sheetFormatPr defaultRowHeight="14.25" x14ac:dyDescent="0.45"/>
  <cols>
    <col min="1" max="1" width="88" customWidth="1"/>
    <col min="2" max="3" width="20" customWidth="1"/>
    <col min="4" max="4" width="2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s="2">
        <v>91.894675084673906</v>
      </c>
      <c r="C2" s="2">
        <v>99.070137206494849</v>
      </c>
      <c r="D2" s="2">
        <v>169.03518770883119</v>
      </c>
    </row>
    <row r="3" spans="1:4" x14ac:dyDescent="0.45">
      <c r="A3" t="s">
        <v>5</v>
      </c>
      <c r="B3" s="2">
        <v>148.337873487834</v>
      </c>
      <c r="C3" s="2">
        <v>133.07200766846691</v>
      </c>
      <c r="D3" s="2">
        <v>78.590118843699088</v>
      </c>
    </row>
    <row r="4" spans="1:4" x14ac:dyDescent="0.45">
      <c r="A4" t="s">
        <v>6</v>
      </c>
      <c r="B4" s="2">
        <v>108.6160007476818</v>
      </c>
      <c r="C4" s="2">
        <v>89.036089495949909</v>
      </c>
      <c r="D4" s="2">
        <v>162.3479097563683</v>
      </c>
    </row>
    <row r="5" spans="1:4" x14ac:dyDescent="0.45">
      <c r="A5" t="s">
        <v>41</v>
      </c>
      <c r="B5" s="2">
        <v>134.5872296389293</v>
      </c>
      <c r="C5" s="2">
        <v>96.4547739858819</v>
      </c>
      <c r="D5" s="2">
        <v>128.9579963751888</v>
      </c>
    </row>
    <row r="6" spans="1:4" x14ac:dyDescent="0.45">
      <c r="A6" t="s">
        <v>40</v>
      </c>
      <c r="B6" s="2">
        <v>149.17877857838391</v>
      </c>
      <c r="C6" s="2">
        <v>87.555370717466246</v>
      </c>
      <c r="D6" s="2">
        <v>123.2658507041499</v>
      </c>
    </row>
    <row r="7" spans="1:4" x14ac:dyDescent="0.45">
      <c r="A7" t="s">
        <v>7</v>
      </c>
      <c r="B7" s="2">
        <v>176.8935776061634</v>
      </c>
      <c r="C7" s="2">
        <v>112.40597006932541</v>
      </c>
      <c r="D7" s="2">
        <v>64.487607536838027</v>
      </c>
    </row>
    <row r="8" spans="1:4" x14ac:dyDescent="0.45">
      <c r="A8" t="s">
        <v>8</v>
      </c>
      <c r="B8" s="2">
        <v>171.92485277984869</v>
      </c>
      <c r="C8" s="2">
        <v>45.285555184382702</v>
      </c>
      <c r="D8" s="2">
        <v>142.78959203576861</v>
      </c>
    </row>
    <row r="9" spans="1:4" x14ac:dyDescent="0.45">
      <c r="A9" t="s">
        <v>9</v>
      </c>
      <c r="B9" s="2">
        <v>36.139475032238117</v>
      </c>
      <c r="C9" s="2">
        <v>151.0444531912039</v>
      </c>
      <c r="D9" s="2">
        <v>172.81607177655789</v>
      </c>
    </row>
    <row r="10" spans="1:4" x14ac:dyDescent="0.45">
      <c r="A10" t="s">
        <v>10</v>
      </c>
      <c r="B10" s="2">
        <v>161.4631336054666</v>
      </c>
      <c r="C10" s="2">
        <v>20.040304672422959</v>
      </c>
      <c r="D10" s="2">
        <v>181.50343827788959</v>
      </c>
    </row>
    <row r="11" spans="1:4" x14ac:dyDescent="0.45">
      <c r="A11" t="s">
        <v>11</v>
      </c>
      <c r="B11" s="2">
        <v>164.94335432515231</v>
      </c>
      <c r="C11" s="2">
        <v>114.1752732563485</v>
      </c>
      <c r="D11" s="2">
        <v>80.881372418499211</v>
      </c>
    </row>
    <row r="12" spans="1:4" x14ac:dyDescent="0.45">
      <c r="A12" t="s">
        <v>12</v>
      </c>
      <c r="B12" s="2">
        <v>128.19708094432221</v>
      </c>
      <c r="C12" s="2">
        <v>112.4456236712962</v>
      </c>
      <c r="D12" s="2">
        <v>119.3572953843816</v>
      </c>
    </row>
    <row r="13" spans="1:4" x14ac:dyDescent="0.45">
      <c r="A13" t="s">
        <v>13</v>
      </c>
      <c r="B13" s="2">
        <v>93.250029679251099</v>
      </c>
      <c r="C13" s="2">
        <v>166.87417869650201</v>
      </c>
      <c r="D13" s="2">
        <v>99.875791624246915</v>
      </c>
    </row>
    <row r="14" spans="1:4" x14ac:dyDescent="0.45">
      <c r="A14" t="s">
        <v>14</v>
      </c>
      <c r="B14" s="2">
        <v>168.27956273796809</v>
      </c>
      <c r="C14" s="2">
        <v>137.36241297572059</v>
      </c>
      <c r="D14" s="2">
        <v>329.0828502377525</v>
      </c>
    </row>
    <row r="15" spans="1:4" x14ac:dyDescent="0.45">
      <c r="A15" t="s">
        <v>15</v>
      </c>
      <c r="B15" s="2">
        <v>89.765133166718044</v>
      </c>
      <c r="C15" s="2">
        <v>73.376712772322605</v>
      </c>
      <c r="D15" s="2">
        <v>163.14184593904059</v>
      </c>
    </row>
    <row r="16" spans="1:4" x14ac:dyDescent="0.45">
      <c r="A16" t="s">
        <v>16</v>
      </c>
      <c r="B16" s="2">
        <v>179.90739628319361</v>
      </c>
      <c r="C16" s="2">
        <v>100.8861869387932</v>
      </c>
      <c r="D16" s="2">
        <v>280.79358322198681</v>
      </c>
    </row>
    <row r="17" spans="1:4" x14ac:dyDescent="0.45">
      <c r="A17" t="s">
        <v>17</v>
      </c>
      <c r="B17" s="2">
        <v>27.26358410664432</v>
      </c>
      <c r="C17" s="2">
        <v>27.66152873103556</v>
      </c>
      <c r="D17" s="2">
        <v>0.39794462439124351</v>
      </c>
    </row>
    <row r="18" spans="1:4" x14ac:dyDescent="0.45">
      <c r="A18" t="s">
        <v>18</v>
      </c>
      <c r="B18" s="2">
        <v>71.408108392388726</v>
      </c>
      <c r="C18" s="2">
        <v>175.20292546648531</v>
      </c>
      <c r="D18" s="2">
        <v>256.20518292590339</v>
      </c>
    </row>
    <row r="19" spans="1:4" x14ac:dyDescent="0.45">
      <c r="A19" t="s">
        <v>19</v>
      </c>
      <c r="B19" s="2">
        <v>14.87996955731467</v>
      </c>
      <c r="C19" s="2">
        <v>126.40907394192079</v>
      </c>
      <c r="D19" s="2">
        <v>141.28904349923539</v>
      </c>
    </row>
    <row r="20" spans="1:4" x14ac:dyDescent="0.45">
      <c r="A20" t="s">
        <v>20</v>
      </c>
      <c r="B20" s="2">
        <v>14.255954665952171</v>
      </c>
      <c r="C20" s="2">
        <v>92.487503198017805</v>
      </c>
      <c r="D20" s="2">
        <v>281.76845146793443</v>
      </c>
    </row>
    <row r="21" spans="1:4" x14ac:dyDescent="0.45">
      <c r="A21" t="s">
        <v>39</v>
      </c>
      <c r="B21" s="2">
        <v>9.7527511900337913</v>
      </c>
      <c r="C21" s="2">
        <v>23.857650252548861</v>
      </c>
      <c r="D21" s="2">
        <v>33.610401442582663</v>
      </c>
    </row>
    <row r="22" spans="1:4" x14ac:dyDescent="0.45">
      <c r="A22" t="s">
        <v>38</v>
      </c>
      <c r="B22" s="2">
        <v>66.76216433104338</v>
      </c>
      <c r="C22" s="2">
        <v>111.8623128575847</v>
      </c>
      <c r="D22" s="2">
        <v>178.62447718862811</v>
      </c>
    </row>
    <row r="23" spans="1:4" x14ac:dyDescent="0.45">
      <c r="A23" t="s">
        <v>21</v>
      </c>
      <c r="B23" s="2">
        <v>76.434033214304236</v>
      </c>
      <c r="C23" s="2">
        <v>30.681585341481991</v>
      </c>
      <c r="D23" s="2">
        <v>107.1156185557862</v>
      </c>
    </row>
    <row r="24" spans="1:4" x14ac:dyDescent="0.45">
      <c r="A24" t="s">
        <v>22</v>
      </c>
      <c r="B24" s="2">
        <v>102.9431825831053</v>
      </c>
      <c r="C24" s="2">
        <v>143.43733313623929</v>
      </c>
      <c r="D24" s="2">
        <v>319.50584944686602</v>
      </c>
    </row>
    <row r="25" spans="1:4" x14ac:dyDescent="0.45">
      <c r="A25" t="s">
        <v>23</v>
      </c>
      <c r="B25" s="2">
        <v>2.9808617978056868</v>
      </c>
      <c r="C25" s="2">
        <v>92.731096321156883</v>
      </c>
      <c r="D25" s="2">
        <v>95.711958118962571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Chemins</vt:lpstr>
      <vt:lpstr>Sheet2</vt:lpstr>
      <vt:lpstr>data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Cecile JOLY</cp:lastModifiedBy>
  <dcterms:created xsi:type="dcterms:W3CDTF">2026-02-19T15:53:25Z</dcterms:created>
  <dcterms:modified xsi:type="dcterms:W3CDTF">2026-03-11T13:39:18Z</dcterms:modified>
</cp:coreProperties>
</file>