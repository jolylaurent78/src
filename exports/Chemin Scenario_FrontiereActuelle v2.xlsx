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D:\Dropbox\La Chouette\Python\AssembleurTriangles\exports\"/>
    </mc:Choice>
  </mc:AlternateContent>
  <xr:revisionPtr revIDLastSave="0" documentId="13_ncr:1_{D3914E1B-BF38-45E0-9356-63F6E997B1BC}" xr6:coauthVersionLast="47" xr6:coauthVersionMax="47" xr10:uidLastSave="{00000000-0000-0000-0000-000000000000}"/>
  <bookViews>
    <workbookView xWindow="-28920" yWindow="10350" windowWidth="29040" windowHeight="15840" xr2:uid="{00000000-000D-0000-FFFF-FFFF00000000}"/>
  </bookViews>
  <sheets>
    <sheet name="Chemins" sheetId="1" r:id="rId1"/>
    <sheet name="data v2" sheetId="2" r:id="rId2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" i="1" l="1"/>
  <c r="E4" i="1"/>
  <c r="E5" i="1"/>
  <c r="E6" i="1"/>
  <c r="E7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E3" i="1"/>
  <c r="D3" i="1"/>
  <c r="L4" i="1" l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3" i="1"/>
</calcChain>
</file>

<file path=xl/sharedStrings.xml><?xml version="1.0" encoding="utf-8"?>
<sst xmlns="http://schemas.openxmlformats.org/spreadsheetml/2006/main" count="118" uniqueCount="72">
  <si>
    <t>Triplet</t>
  </si>
  <si>
    <t>Az OA°</t>
  </si>
  <si>
    <t>Az OB°</t>
  </si>
  <si>
    <t>(A, O, B)°</t>
  </si>
  <si>
    <t>La Ferté-Alais - Bourges|Rocamadour - Jumièges|Loches</t>
  </si>
  <si>
    <t>Jumièges|Loches - Saint-Amour - Bourges|Pont de Noirmoutier</t>
  </si>
  <si>
    <t>Bourges|Pont de Noirmoutier - Lac-de-Trémelin|Mirebeau - Bourges|Rocamadour</t>
  </si>
  <si>
    <t>Bourges|Rocamadour - St Julien de Mailloc|Villefrancoeur - Bourges|Reims</t>
  </si>
  <si>
    <t>Bourges|Reims - Gergovie - Bourges</t>
  </si>
  <si>
    <t>Bourges - Bouvines - Mayence|Waterloo</t>
  </si>
  <si>
    <t>Mayence|Waterloo - Bourges|Île-d'Aix - Massif des Maures|Pevensey</t>
  </si>
  <si>
    <t>Massif des Maures|Pevensey - Bourges - 3RDV|Sainte-Mère-Église</t>
  </si>
  <si>
    <t>3RDV|Sainte-Mère-Église - Île-d'Aix - Bourges|Metz</t>
  </si>
  <si>
    <t>Bourges|Metz - Montereau|Troyes - Bourges</t>
  </si>
  <si>
    <t>Bourges - Coetquidan - Puy de Dôme|Rouen</t>
  </si>
  <si>
    <t>Puy de Dôme|Rouen - Bourges|Domrémy - Donon</t>
  </si>
  <si>
    <t>Donon - Bourges|Domrémy - Bourges</t>
  </si>
  <si>
    <t>Bourges - Chinon|Guérande - Château-Gaillard</t>
  </si>
  <si>
    <t>Château-Gaillard - Bourges|Metz - Brétigny|Vézelay</t>
  </si>
  <si>
    <t>Brétigny|Vézelay - Bourges - Aléria</t>
  </si>
  <si>
    <t>Aléria - Bourges|Île-d'Aix - Bourges</t>
  </si>
  <si>
    <t>Bourges - Boulogne-sur-Mer|Paris - Carignan</t>
  </si>
  <si>
    <t>Carignan - Bâle|Solesmes - Bourges</t>
  </si>
  <si>
    <t>Bourges - Rumigny|Thury-sous-Clermont - Bourges|Reims</t>
  </si>
  <si>
    <t>Bourges|Reims - Bourges|Rocamadour - Bourges|Pont de Noirmoutier</t>
  </si>
  <si>
    <t>Bourges|Pont de Noirmoutier - Beaugency|Pertuis d'Antioche - Bourges|Le Goulet</t>
  </si>
  <si>
    <t>Bourges|Le Goulet - Grotte de Lombrives|Pic du Midi - Bourges</t>
  </si>
  <si>
    <t>Bourges - Bourges|Rocamadour - La Ferté-Alais</t>
  </si>
  <si>
    <t>Colonne</t>
  </si>
  <si>
    <t>Choix</t>
  </si>
  <si>
    <t>+22</t>
  </si>
  <si>
    <t>Enigme</t>
  </si>
  <si>
    <t>Mot</t>
  </si>
  <si>
    <t>CHERCHE</t>
  </si>
  <si>
    <t>-47</t>
  </si>
  <si>
    <t>3: 470</t>
  </si>
  <si>
    <t>SECOND</t>
  </si>
  <si>
    <t>Ligne</t>
  </si>
  <si>
    <t>Angle</t>
  </si>
  <si>
    <t>Sommet</t>
  </si>
  <si>
    <t>N-2</t>
  </si>
  <si>
    <t>N</t>
  </si>
  <si>
    <t>9: 650</t>
  </si>
  <si>
    <t>SENTINELLE</t>
  </si>
  <si>
    <t>Décalage</t>
  </si>
  <si>
    <t>Y</t>
  </si>
  <si>
    <t>DU</t>
  </si>
  <si>
    <t>PONANT</t>
  </si>
  <si>
    <t>St Julien de Mailloc|Villefrancoeur - Bourges|Rocamadour - Bourges|Pont de Noirmoutier</t>
  </si>
  <si>
    <t>Bourges - Bourges|Reims - St Julien de Mailloc|Villefrancoeur</t>
  </si>
  <si>
    <t>Rumigny|Thury-sous-Clermont - Gergovie - Bourges</t>
  </si>
  <si>
    <t>Bourges|Rocamadour - Bourges|Reims - Rumigny|Thury-sous-Clermont</t>
  </si>
  <si>
    <t>Opp Az OA°</t>
  </si>
  <si>
    <t>Opp Az OB°</t>
  </si>
  <si>
    <t>9: 500+2=650</t>
  </si>
  <si>
    <t>C</t>
  </si>
  <si>
    <t>6:500</t>
  </si>
  <si>
    <t>4:650+2=580</t>
  </si>
  <si>
    <t>MESURES</t>
  </si>
  <si>
    <t>9:650</t>
  </si>
  <si>
    <t>48-2</t>
  </si>
  <si>
    <t>VERS</t>
  </si>
  <si>
    <t>7:420</t>
  </si>
  <si>
    <t>SE</t>
  </si>
  <si>
    <t>-(51-2)</t>
  </si>
  <si>
    <t>-(36-2)</t>
  </si>
  <si>
    <t>5:600</t>
  </si>
  <si>
    <t>-(22-2)</t>
  </si>
  <si>
    <t>650</t>
  </si>
  <si>
    <t>580</t>
  </si>
  <si>
    <t>470</t>
  </si>
  <si>
    <t>560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</si>
</sst>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2" fontId="0" fillId="0" borderId="0" xfId="0" applyNumberFormat="1"/>
    <xf numFmtId="9" fontId="0" fillId="0" borderId="0" xfId="0" applyNumberFormat="1"/>
    <xf numFmtId="164" fontId="0" fillId="0" borderId="0" xfId="0" applyNumberFormat="1"/>
    <xf numFmtId="0" fontId="3" fillId="0" borderId="0" xfId="0" applyFont="1"/>
    <xf numFmtId="0" fontId="0" fillId="0" borderId="0" xfId="0" quotePrefix="1"/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0" fontId="0" fillId="0" borderId="0" xfId="0" quotePrefix="1" applyAlignment="1">
      <alignment horizontal="center"/>
    </xf>
    <xf numFmtId="2" fontId="0" fillId="0" borderId="0" xfId="0" quotePrefix="1" applyNumberFormat="1"/>
    <xf numFmtId="2" fontId="0" fillId="2" borderId="0" xfId="0" applyNumberFormat="1" applyFill="1"/>
    <xf numFmtId="0" fontId="2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26"/>
  <sheetViews>
    <sheetView tabSelected="1" workbookViewId="0">
      <selection activeCell="F12" sqref="F12"/>
    </sheetView>
  </sheetViews>
  <sheetFormatPr defaultRowHeight="14.25" x14ac:dyDescent="0.45"/>
  <cols>
    <col min="1" max="1" width="80" customWidth="1"/>
    <col min="2" max="5" width="10.265625" customWidth="1"/>
    <col min="6" max="6" width="9.06640625" customWidth="1"/>
    <col min="7" max="8" width="8.265625" customWidth="1"/>
    <col min="9" max="9" width="14.265625" customWidth="1"/>
    <col min="10" max="10" width="3.06640625" customWidth="1"/>
    <col min="11" max="11" width="12" customWidth="1"/>
    <col min="13" max="13" width="9.06640625" style="7"/>
  </cols>
  <sheetData>
    <row r="1" spans="1:15" x14ac:dyDescent="0.45">
      <c r="B1" t="s">
        <v>37</v>
      </c>
      <c r="K1" s="12" t="s">
        <v>28</v>
      </c>
      <c r="L1" s="12"/>
      <c r="M1" s="12"/>
    </row>
    <row r="2" spans="1:15" x14ac:dyDescent="0.45">
      <c r="A2" s="1" t="s">
        <v>0</v>
      </c>
      <c r="B2" s="5" t="s">
        <v>1</v>
      </c>
      <c r="C2" s="5" t="s">
        <v>2</v>
      </c>
      <c r="D2" s="5" t="s">
        <v>52</v>
      </c>
      <c r="E2" s="5" t="s">
        <v>53</v>
      </c>
      <c r="F2" s="5" t="s">
        <v>38</v>
      </c>
      <c r="G2" s="5" t="s">
        <v>39</v>
      </c>
      <c r="H2" s="5" t="s">
        <v>44</v>
      </c>
      <c r="I2" s="5" t="s">
        <v>31</v>
      </c>
      <c r="J2" s="1"/>
      <c r="K2" s="1" t="s">
        <v>3</v>
      </c>
      <c r="L2" s="3">
        <v>1</v>
      </c>
      <c r="M2" s="8" t="s">
        <v>29</v>
      </c>
      <c r="N2" s="5" t="s">
        <v>44</v>
      </c>
      <c r="O2" s="5" t="s">
        <v>32</v>
      </c>
    </row>
    <row r="3" spans="1:15" x14ac:dyDescent="0.45">
      <c r="A3" t="s">
        <v>4</v>
      </c>
      <c r="B3" s="2">
        <v>91.894675084673906</v>
      </c>
      <c r="C3" s="2">
        <v>99.070137206494849</v>
      </c>
      <c r="D3" s="2">
        <f>180-B3</f>
        <v>88.105324915326094</v>
      </c>
      <c r="E3" s="11">
        <f>180-C3</f>
        <v>80.929862793505151</v>
      </c>
      <c r="F3" s="2">
        <v>81.650000000000006</v>
      </c>
      <c r="G3" s="2" t="s">
        <v>40</v>
      </c>
      <c r="H3" t="s">
        <v>41</v>
      </c>
      <c r="I3" s="10" t="s">
        <v>42</v>
      </c>
      <c r="J3" s="2"/>
      <c r="K3" s="2">
        <v>169.03518770883119</v>
      </c>
      <c r="L3" s="4">
        <f>K3/3.6</f>
        <v>46.954218808008662</v>
      </c>
      <c r="M3" s="9" t="s">
        <v>34</v>
      </c>
      <c r="N3" t="s">
        <v>41</v>
      </c>
      <c r="O3" t="s">
        <v>33</v>
      </c>
    </row>
    <row r="4" spans="1:15" x14ac:dyDescent="0.45">
      <c r="A4" t="s">
        <v>5</v>
      </c>
      <c r="B4" s="2">
        <v>148.337873487834</v>
      </c>
      <c r="C4" s="11">
        <v>133.07200766846691</v>
      </c>
      <c r="D4" s="2">
        <f t="shared" ref="D4:D26" si="0">180-B4</f>
        <v>31.662126512165997</v>
      </c>
      <c r="E4" s="2">
        <f t="shared" ref="E4:E26" si="1">180-C4</f>
        <v>46.92799233153309</v>
      </c>
      <c r="F4" s="2">
        <v>138.62</v>
      </c>
      <c r="G4" s="2" t="s">
        <v>41</v>
      </c>
      <c r="H4" t="s">
        <v>41</v>
      </c>
      <c r="I4" s="6" t="s">
        <v>35</v>
      </c>
      <c r="J4" s="2"/>
      <c r="K4" s="2">
        <v>78.590118843699088</v>
      </c>
      <c r="L4" s="4">
        <f t="shared" ref="L4:L26" si="2">K4/3.6</f>
        <v>21.830588567694189</v>
      </c>
      <c r="M4" s="9" t="s">
        <v>30</v>
      </c>
      <c r="N4" t="s">
        <v>41</v>
      </c>
      <c r="O4" t="s">
        <v>36</v>
      </c>
    </row>
    <row r="5" spans="1:15" x14ac:dyDescent="0.45">
      <c r="A5" t="s">
        <v>6</v>
      </c>
      <c r="B5" s="2">
        <v>108.6160007476818</v>
      </c>
      <c r="C5" s="11">
        <v>89.036089495949909</v>
      </c>
      <c r="D5" s="2">
        <f t="shared" si="0"/>
        <v>71.383999252318205</v>
      </c>
      <c r="E5" s="2">
        <f t="shared" si="1"/>
        <v>90.963910504050091</v>
      </c>
      <c r="F5" s="2">
        <v>89.92</v>
      </c>
      <c r="G5" s="2" t="s">
        <v>41</v>
      </c>
      <c r="H5" t="s">
        <v>45</v>
      </c>
      <c r="I5" s="10" t="s">
        <v>54</v>
      </c>
      <c r="J5" s="2"/>
      <c r="K5" s="2">
        <v>162.3479097563683</v>
      </c>
      <c r="L5" s="4">
        <f t="shared" si="2"/>
        <v>45.096641598991191</v>
      </c>
      <c r="M5" s="7">
        <v>-45</v>
      </c>
      <c r="N5" t="s">
        <v>41</v>
      </c>
      <c r="O5" t="s">
        <v>43</v>
      </c>
    </row>
    <row r="6" spans="1:15" x14ac:dyDescent="0.45">
      <c r="A6" t="s">
        <v>7</v>
      </c>
      <c r="B6" s="2">
        <v>134.5872296389293</v>
      </c>
      <c r="C6" s="2">
        <v>96.4547739858819</v>
      </c>
      <c r="D6" s="2">
        <f t="shared" si="0"/>
        <v>45.412770361070699</v>
      </c>
      <c r="E6" s="11">
        <f t="shared" si="1"/>
        <v>83.5452260141181</v>
      </c>
      <c r="F6" s="2">
        <v>81.650000000000006</v>
      </c>
      <c r="G6" s="2" t="s">
        <v>40</v>
      </c>
      <c r="H6" s="2" t="s">
        <v>45</v>
      </c>
      <c r="I6" s="10" t="s">
        <v>57</v>
      </c>
      <c r="J6" s="2"/>
      <c r="K6" s="2">
        <v>128.9579963751888</v>
      </c>
      <c r="L6" s="4">
        <f t="shared" si="2"/>
        <v>35.821665659774666</v>
      </c>
      <c r="M6" s="9" t="s">
        <v>65</v>
      </c>
      <c r="N6" t="s">
        <v>45</v>
      </c>
      <c r="O6" t="s">
        <v>46</v>
      </c>
    </row>
    <row r="7" spans="1:15" x14ac:dyDescent="0.45">
      <c r="A7" t="s">
        <v>8</v>
      </c>
      <c r="B7" s="2">
        <v>149.17877857838391</v>
      </c>
      <c r="C7" s="2">
        <v>87.555370717466246</v>
      </c>
      <c r="D7" s="2">
        <f t="shared" si="0"/>
        <v>30.821221421616087</v>
      </c>
      <c r="E7" s="11">
        <f t="shared" si="1"/>
        <v>92.444629282533754</v>
      </c>
      <c r="F7" s="2">
        <v>89.92</v>
      </c>
      <c r="G7" s="2" t="s">
        <v>41</v>
      </c>
      <c r="H7" s="2" t="s">
        <v>45</v>
      </c>
      <c r="I7" s="10" t="s">
        <v>54</v>
      </c>
      <c r="J7" s="2"/>
      <c r="K7" s="2">
        <v>123.2658507041499</v>
      </c>
      <c r="L7" s="4">
        <f t="shared" si="2"/>
        <v>34.24051408448608</v>
      </c>
      <c r="M7" s="7">
        <v>34</v>
      </c>
      <c r="N7" t="s">
        <v>41</v>
      </c>
      <c r="O7" t="s">
        <v>47</v>
      </c>
    </row>
    <row r="8" spans="1:15" x14ac:dyDescent="0.45">
      <c r="A8" t="s">
        <v>9</v>
      </c>
      <c r="B8" s="2">
        <v>176.8935776061634</v>
      </c>
      <c r="C8" s="2">
        <v>112.40597006932541</v>
      </c>
      <c r="D8" s="2">
        <f t="shared" si="0"/>
        <v>3.1064223938365956</v>
      </c>
      <c r="E8" s="2">
        <f>180-C8</f>
        <v>67.594029930674594</v>
      </c>
      <c r="F8" s="10" t="s">
        <v>68</v>
      </c>
      <c r="G8" s="2"/>
      <c r="H8" s="2"/>
      <c r="I8" s="10" t="s">
        <v>56</v>
      </c>
      <c r="J8" s="2"/>
      <c r="K8" s="2">
        <v>64.487607536838027</v>
      </c>
      <c r="L8" s="4">
        <f t="shared" si="2"/>
        <v>17.913224315788341</v>
      </c>
      <c r="M8" s="7">
        <v>18</v>
      </c>
      <c r="N8" t="s">
        <v>41</v>
      </c>
      <c r="O8" t="s">
        <v>55</v>
      </c>
    </row>
    <row r="9" spans="1:15" x14ac:dyDescent="0.45">
      <c r="A9" t="s">
        <v>10</v>
      </c>
      <c r="B9" s="2">
        <v>171.92485277984869</v>
      </c>
      <c r="C9" s="2">
        <v>45.285555184382702</v>
      </c>
      <c r="D9" s="2">
        <f t="shared" si="0"/>
        <v>8.0751472201513081</v>
      </c>
      <c r="E9" s="2">
        <f t="shared" si="1"/>
        <v>134.7144448156173</v>
      </c>
      <c r="F9" s="10" t="s">
        <v>71</v>
      </c>
      <c r="G9" s="2"/>
      <c r="H9" s="2"/>
      <c r="I9" s="10" t="s">
        <v>59</v>
      </c>
      <c r="J9" s="2"/>
      <c r="K9" s="2">
        <v>142.78959203576861</v>
      </c>
      <c r="L9" s="4">
        <f t="shared" si="2"/>
        <v>39.663775565491278</v>
      </c>
      <c r="M9" s="7">
        <v>40</v>
      </c>
      <c r="N9" t="s">
        <v>41</v>
      </c>
      <c r="O9" t="s">
        <v>58</v>
      </c>
    </row>
    <row r="10" spans="1:15" x14ac:dyDescent="0.45">
      <c r="A10" t="s">
        <v>11</v>
      </c>
      <c r="B10" s="2">
        <v>36.139475032238117</v>
      </c>
      <c r="C10" s="2">
        <v>151.0444531912039</v>
      </c>
      <c r="D10" s="2">
        <f t="shared" si="0"/>
        <v>143.86052496776188</v>
      </c>
      <c r="E10" s="2">
        <f t="shared" si="1"/>
        <v>28.9555468087961</v>
      </c>
      <c r="F10" s="10" t="s">
        <v>69</v>
      </c>
      <c r="G10" s="2"/>
      <c r="H10" s="2"/>
      <c r="I10" s="10" t="s">
        <v>62</v>
      </c>
      <c r="J10" s="2"/>
      <c r="K10" s="2">
        <v>172.81607177655789</v>
      </c>
      <c r="L10" s="4">
        <f t="shared" si="2"/>
        <v>48.004464382377193</v>
      </c>
      <c r="M10" s="7" t="s">
        <v>60</v>
      </c>
      <c r="N10" t="s">
        <v>45</v>
      </c>
      <c r="O10" t="s">
        <v>61</v>
      </c>
    </row>
    <row r="11" spans="1:15" x14ac:dyDescent="0.45">
      <c r="A11" t="s">
        <v>12</v>
      </c>
      <c r="B11" s="2">
        <v>161.4631336054666</v>
      </c>
      <c r="C11" s="2">
        <v>20.040304672422959</v>
      </c>
      <c r="D11" s="2">
        <f t="shared" si="0"/>
        <v>18.536866394533405</v>
      </c>
      <c r="E11" s="2">
        <f t="shared" si="1"/>
        <v>159.95969532757704</v>
      </c>
      <c r="F11" s="10" t="s">
        <v>70</v>
      </c>
      <c r="G11" s="2"/>
      <c r="H11" s="2"/>
      <c r="I11" s="10" t="s">
        <v>66</v>
      </c>
      <c r="J11" s="2"/>
      <c r="K11" s="2">
        <v>181.50343827788959</v>
      </c>
      <c r="L11" s="4">
        <f t="shared" si="2"/>
        <v>50.41762174385822</v>
      </c>
      <c r="M11" s="9" t="s">
        <v>64</v>
      </c>
      <c r="N11" t="s">
        <v>45</v>
      </c>
      <c r="O11" t="s">
        <v>63</v>
      </c>
    </row>
    <row r="12" spans="1:15" x14ac:dyDescent="0.45">
      <c r="A12" t="s">
        <v>13</v>
      </c>
      <c r="B12" s="2">
        <v>164.94335432515231</v>
      </c>
      <c r="C12" s="2">
        <v>114.1752732563485</v>
      </c>
      <c r="D12" s="2">
        <f t="shared" si="0"/>
        <v>15.056645674847687</v>
      </c>
      <c r="E12" s="2">
        <f t="shared" si="1"/>
        <v>65.824726743651496</v>
      </c>
      <c r="F12" s="10" t="s">
        <v>68</v>
      </c>
      <c r="G12" s="2"/>
      <c r="H12" s="2"/>
      <c r="I12" s="10" t="s">
        <v>59</v>
      </c>
      <c r="J12" s="2"/>
      <c r="K12" s="2">
        <v>80.881372418499211</v>
      </c>
      <c r="L12" s="4">
        <f t="shared" si="2"/>
        <v>22.467047894027559</v>
      </c>
      <c r="M12" s="9" t="s">
        <v>67</v>
      </c>
      <c r="N12" t="s">
        <v>45</v>
      </c>
      <c r="O12" t="s">
        <v>33</v>
      </c>
    </row>
    <row r="13" spans="1:15" x14ac:dyDescent="0.45">
      <c r="A13" t="s">
        <v>14</v>
      </c>
      <c r="B13" s="2">
        <v>128.19708094432221</v>
      </c>
      <c r="C13" s="2">
        <v>112.4456236712962</v>
      </c>
      <c r="D13" s="2">
        <f t="shared" si="0"/>
        <v>51.802919055677791</v>
      </c>
      <c r="E13" s="2">
        <f t="shared" si="1"/>
        <v>67.554376328703796</v>
      </c>
      <c r="F13" s="2"/>
      <c r="G13" s="2"/>
      <c r="H13" s="2"/>
      <c r="I13" s="2"/>
      <c r="J13" s="2"/>
      <c r="K13" s="2">
        <v>119.3572953843816</v>
      </c>
      <c r="L13" s="4">
        <f t="shared" si="2"/>
        <v>33.154804273439332</v>
      </c>
    </row>
    <row r="14" spans="1:15" x14ac:dyDescent="0.45">
      <c r="A14" t="s">
        <v>15</v>
      </c>
      <c r="B14" s="2">
        <v>93.250029679251099</v>
      </c>
      <c r="C14" s="2">
        <v>166.87417869650201</v>
      </c>
      <c r="D14" s="2">
        <f t="shared" si="0"/>
        <v>86.749970320748901</v>
      </c>
      <c r="E14" s="2">
        <f t="shared" si="1"/>
        <v>13.125821303497986</v>
      </c>
      <c r="F14" s="2"/>
      <c r="G14" s="2"/>
      <c r="H14" s="2"/>
      <c r="I14" s="2"/>
      <c r="J14" s="2"/>
      <c r="K14" s="2">
        <v>99.875791624246915</v>
      </c>
      <c r="L14" s="4">
        <f t="shared" si="2"/>
        <v>27.743275451179699</v>
      </c>
    </row>
    <row r="15" spans="1:15" x14ac:dyDescent="0.45">
      <c r="A15" t="s">
        <v>16</v>
      </c>
      <c r="B15" s="2">
        <v>168.27956273796809</v>
      </c>
      <c r="C15" s="2">
        <v>137.36241297572059</v>
      </c>
      <c r="D15" s="2">
        <f t="shared" si="0"/>
        <v>11.720437262031908</v>
      </c>
      <c r="E15" s="2">
        <f t="shared" si="1"/>
        <v>42.637587024279412</v>
      </c>
      <c r="F15" s="2"/>
      <c r="G15" s="2"/>
      <c r="H15" s="2"/>
      <c r="I15" s="2"/>
      <c r="J15" s="2"/>
      <c r="K15" s="2">
        <v>329.0828502377525</v>
      </c>
      <c r="L15" s="4">
        <f t="shared" si="2"/>
        <v>91.41190284382013</v>
      </c>
    </row>
    <row r="16" spans="1:15" x14ac:dyDescent="0.45">
      <c r="A16" t="s">
        <v>17</v>
      </c>
      <c r="B16" s="2">
        <v>89.765133166718044</v>
      </c>
      <c r="C16" s="2">
        <v>73.376712772322605</v>
      </c>
      <c r="D16" s="2">
        <f t="shared" si="0"/>
        <v>90.234866833281956</v>
      </c>
      <c r="E16" s="2">
        <f t="shared" si="1"/>
        <v>106.62328722767739</v>
      </c>
      <c r="F16" s="2"/>
      <c r="G16" s="2"/>
      <c r="H16" s="2"/>
      <c r="I16" s="2"/>
      <c r="J16" s="2"/>
      <c r="K16" s="2">
        <v>163.14184593904059</v>
      </c>
      <c r="L16" s="4">
        <f t="shared" si="2"/>
        <v>45.317179427511277</v>
      </c>
    </row>
    <row r="17" spans="1:12" x14ac:dyDescent="0.45">
      <c r="A17" t="s">
        <v>18</v>
      </c>
      <c r="B17" s="2">
        <v>179.90739628319361</v>
      </c>
      <c r="C17" s="2">
        <v>100.8861869387932</v>
      </c>
      <c r="D17" s="2">
        <f t="shared" si="0"/>
        <v>9.2603716806394232E-2</v>
      </c>
      <c r="E17" s="2">
        <f t="shared" si="1"/>
        <v>79.113813061206798</v>
      </c>
      <c r="F17" s="2"/>
      <c r="G17" s="2"/>
      <c r="H17" s="2"/>
      <c r="I17" s="2"/>
      <c r="J17" s="2"/>
      <c r="K17" s="2">
        <v>280.79358322198681</v>
      </c>
      <c r="L17" s="4">
        <f t="shared" si="2"/>
        <v>77.998217561662997</v>
      </c>
    </row>
    <row r="18" spans="1:12" x14ac:dyDescent="0.45">
      <c r="A18" t="s">
        <v>19</v>
      </c>
      <c r="B18" s="2">
        <v>27.26358410664432</v>
      </c>
      <c r="C18" s="2">
        <v>27.66152873103556</v>
      </c>
      <c r="D18" s="2">
        <f t="shared" si="0"/>
        <v>152.73641589335568</v>
      </c>
      <c r="E18" s="2">
        <f t="shared" si="1"/>
        <v>152.33847126896444</v>
      </c>
      <c r="F18" s="2"/>
      <c r="G18" s="2"/>
      <c r="H18" s="2"/>
      <c r="I18" s="2"/>
      <c r="J18" s="2"/>
      <c r="K18" s="2">
        <v>0.39794462439124351</v>
      </c>
      <c r="L18" s="4">
        <f t="shared" si="2"/>
        <v>0.11054017344201209</v>
      </c>
    </row>
    <row r="19" spans="1:12" x14ac:dyDescent="0.45">
      <c r="A19" t="s">
        <v>20</v>
      </c>
      <c r="B19" s="2">
        <v>71.408108392388726</v>
      </c>
      <c r="C19" s="2">
        <v>175.20292546648531</v>
      </c>
      <c r="D19" s="2">
        <f t="shared" si="0"/>
        <v>108.59189160761127</v>
      </c>
      <c r="E19" s="2">
        <f t="shared" si="1"/>
        <v>4.7970745335146887</v>
      </c>
      <c r="F19" s="2"/>
      <c r="G19" s="2"/>
      <c r="H19" s="2"/>
      <c r="I19" s="2"/>
      <c r="J19" s="2"/>
      <c r="K19" s="2">
        <v>256.20518292590339</v>
      </c>
      <c r="L19" s="4">
        <f t="shared" si="2"/>
        <v>71.168106368306496</v>
      </c>
    </row>
    <row r="20" spans="1:12" x14ac:dyDescent="0.45">
      <c r="A20" t="s">
        <v>21</v>
      </c>
      <c r="B20" s="2">
        <v>14.87996955731467</v>
      </c>
      <c r="C20" s="2">
        <v>126.40907394192079</v>
      </c>
      <c r="D20" s="2">
        <f t="shared" si="0"/>
        <v>165.12003044268533</v>
      </c>
      <c r="E20" s="2">
        <f t="shared" si="1"/>
        <v>53.590926058079205</v>
      </c>
      <c r="F20" s="2"/>
      <c r="G20" s="2"/>
      <c r="H20" s="2"/>
      <c r="I20" s="2"/>
      <c r="J20" s="2"/>
      <c r="K20" s="2">
        <v>141.28904349923539</v>
      </c>
      <c r="L20" s="4">
        <f t="shared" si="2"/>
        <v>39.246956527565388</v>
      </c>
    </row>
    <row r="21" spans="1:12" x14ac:dyDescent="0.45">
      <c r="A21" t="s">
        <v>22</v>
      </c>
      <c r="B21" s="2">
        <v>14.255954665952171</v>
      </c>
      <c r="C21" s="2">
        <v>92.487503198017805</v>
      </c>
      <c r="D21" s="2">
        <f t="shared" si="0"/>
        <v>165.74404533404783</v>
      </c>
      <c r="E21" s="2">
        <f t="shared" si="1"/>
        <v>87.512496801982195</v>
      </c>
      <c r="F21" s="2"/>
      <c r="G21" s="2"/>
      <c r="H21" s="2"/>
      <c r="I21" s="2"/>
      <c r="J21" s="2"/>
      <c r="K21" s="2">
        <v>281.76845146793443</v>
      </c>
      <c r="L21" s="4">
        <f t="shared" si="2"/>
        <v>78.26901429664845</v>
      </c>
    </row>
    <row r="22" spans="1:12" x14ac:dyDescent="0.45">
      <c r="A22" t="s">
        <v>23</v>
      </c>
      <c r="B22" s="2">
        <v>9.7527511900337913</v>
      </c>
      <c r="C22" s="2">
        <v>23.857650252548861</v>
      </c>
      <c r="D22" s="2">
        <f t="shared" si="0"/>
        <v>170.24724880996621</v>
      </c>
      <c r="E22" s="2">
        <f t="shared" si="1"/>
        <v>156.14234974745114</v>
      </c>
      <c r="F22" s="2"/>
      <c r="G22" s="2"/>
      <c r="H22" s="2"/>
      <c r="I22" s="2"/>
      <c r="J22" s="2"/>
      <c r="K22" s="2">
        <v>33.610401442582663</v>
      </c>
      <c r="L22" s="4">
        <f t="shared" si="2"/>
        <v>9.3362226229396281</v>
      </c>
    </row>
    <row r="23" spans="1:12" x14ac:dyDescent="0.45">
      <c r="A23" t="s">
        <v>24</v>
      </c>
      <c r="B23" s="2">
        <v>66.76216433104338</v>
      </c>
      <c r="C23" s="2">
        <v>111.8623128575847</v>
      </c>
      <c r="D23" s="2">
        <f t="shared" si="0"/>
        <v>113.23783566895662</v>
      </c>
      <c r="E23" s="2">
        <f t="shared" si="1"/>
        <v>68.137687142415302</v>
      </c>
      <c r="F23" s="2"/>
      <c r="G23" s="2"/>
      <c r="H23" s="2"/>
      <c r="I23" s="2"/>
      <c r="J23" s="2"/>
      <c r="K23" s="2">
        <v>178.62447718862811</v>
      </c>
      <c r="L23" s="4">
        <f t="shared" si="2"/>
        <v>49.617910330174475</v>
      </c>
    </row>
    <row r="24" spans="1:12" x14ac:dyDescent="0.45">
      <c r="A24" t="s">
        <v>25</v>
      </c>
      <c r="B24" s="2">
        <v>76.434033214304236</v>
      </c>
      <c r="C24" s="2">
        <v>30.681585341481991</v>
      </c>
      <c r="D24" s="2">
        <f t="shared" si="0"/>
        <v>103.56596678569576</v>
      </c>
      <c r="E24" s="2">
        <f t="shared" si="1"/>
        <v>149.31841465851801</v>
      </c>
      <c r="F24" s="2"/>
      <c r="G24" s="2"/>
      <c r="H24" s="2"/>
      <c r="I24" s="2"/>
      <c r="J24" s="2"/>
      <c r="K24" s="2">
        <v>107.1156185557862</v>
      </c>
      <c r="L24" s="4">
        <f t="shared" si="2"/>
        <v>29.754338487718389</v>
      </c>
    </row>
    <row r="25" spans="1:12" x14ac:dyDescent="0.45">
      <c r="A25" t="s">
        <v>26</v>
      </c>
      <c r="B25" s="2">
        <v>102.9431825831053</v>
      </c>
      <c r="C25" s="2">
        <v>143.43733313623929</v>
      </c>
      <c r="D25" s="2">
        <f t="shared" si="0"/>
        <v>77.056817416894702</v>
      </c>
      <c r="E25" s="2">
        <f t="shared" si="1"/>
        <v>36.562666863760711</v>
      </c>
      <c r="F25" s="2"/>
      <c r="G25" s="2"/>
      <c r="H25" s="2"/>
      <c r="I25" s="2"/>
      <c r="J25" s="2"/>
      <c r="K25" s="2">
        <v>319.50584944686602</v>
      </c>
      <c r="L25" s="4">
        <f t="shared" si="2"/>
        <v>88.751624846351675</v>
      </c>
    </row>
    <row r="26" spans="1:12" x14ac:dyDescent="0.45">
      <c r="A26" t="s">
        <v>27</v>
      </c>
      <c r="B26" s="2">
        <v>2.9808617978056868</v>
      </c>
      <c r="C26" s="2">
        <v>92.731096321156883</v>
      </c>
      <c r="D26" s="2">
        <f t="shared" si="0"/>
        <v>177.01913820219431</v>
      </c>
      <c r="E26" s="2">
        <f t="shared" si="1"/>
        <v>87.268903678843117</v>
      </c>
      <c r="F26" s="2"/>
      <c r="G26" s="2"/>
      <c r="H26" s="2"/>
      <c r="I26" s="2"/>
      <c r="J26" s="2"/>
      <c r="K26" s="2">
        <v>95.711958118962571</v>
      </c>
      <c r="L26" s="4">
        <f t="shared" si="2"/>
        <v>26.586655033045158</v>
      </c>
    </row>
  </sheetData>
  <mergeCells count="1">
    <mergeCell ref="K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1ED0F-1C1B-4AC3-A2AE-6B6B09A5C16A}">
  <dimension ref="A1:D25"/>
  <sheetViews>
    <sheetView workbookViewId="0">
      <selection activeCell="D2" sqref="D2:D25"/>
    </sheetView>
  </sheetViews>
  <sheetFormatPr defaultRowHeight="14.25" x14ac:dyDescent="0.45"/>
  <cols>
    <col min="1" max="1" width="88" customWidth="1"/>
    <col min="2" max="3" width="20" customWidth="1"/>
    <col min="4" max="4" width="21" customWidth="1"/>
  </cols>
  <sheetData>
    <row r="1" spans="1:4" x14ac:dyDescent="0.45">
      <c r="A1" s="1" t="s">
        <v>0</v>
      </c>
      <c r="B1" s="1" t="s">
        <v>1</v>
      </c>
      <c r="C1" s="1" t="s">
        <v>2</v>
      </c>
      <c r="D1" s="1" t="s">
        <v>3</v>
      </c>
    </row>
    <row r="2" spans="1:4" x14ac:dyDescent="0.45">
      <c r="A2" t="s">
        <v>4</v>
      </c>
      <c r="B2" s="2">
        <v>91.894675084673906</v>
      </c>
      <c r="C2" s="2">
        <v>99.070137206494849</v>
      </c>
      <c r="D2" s="2">
        <v>169.03518770883119</v>
      </c>
    </row>
    <row r="3" spans="1:4" x14ac:dyDescent="0.45">
      <c r="A3" t="s">
        <v>5</v>
      </c>
      <c r="B3" s="2">
        <v>148.337873487834</v>
      </c>
      <c r="C3" s="2">
        <v>133.07200766846691</v>
      </c>
      <c r="D3" s="2">
        <v>78.590118843699088</v>
      </c>
    </row>
    <row r="4" spans="1:4" x14ac:dyDescent="0.45">
      <c r="A4" t="s">
        <v>6</v>
      </c>
      <c r="B4" s="2">
        <v>108.6160007476818</v>
      </c>
      <c r="C4" s="2">
        <v>89.036089495949909</v>
      </c>
      <c r="D4" s="2">
        <v>162.3479097563683</v>
      </c>
    </row>
    <row r="5" spans="1:4" x14ac:dyDescent="0.45">
      <c r="A5" t="s">
        <v>51</v>
      </c>
      <c r="B5" s="2">
        <v>134.5872296389293</v>
      </c>
      <c r="C5" s="2">
        <v>96.4547739858819</v>
      </c>
      <c r="D5" s="2">
        <v>128.9579963751888</v>
      </c>
    </row>
    <row r="6" spans="1:4" x14ac:dyDescent="0.45">
      <c r="A6" t="s">
        <v>50</v>
      </c>
      <c r="B6" s="2">
        <v>149.17877857838391</v>
      </c>
      <c r="C6" s="2">
        <v>87.555370717466246</v>
      </c>
      <c r="D6" s="2">
        <v>123.2658507041499</v>
      </c>
    </row>
    <row r="7" spans="1:4" x14ac:dyDescent="0.45">
      <c r="A7" t="s">
        <v>9</v>
      </c>
      <c r="B7" s="2">
        <v>176.8935776061634</v>
      </c>
      <c r="C7" s="2">
        <v>112.40597006932541</v>
      </c>
      <c r="D7" s="2">
        <v>64.487607536838027</v>
      </c>
    </row>
    <row r="8" spans="1:4" x14ac:dyDescent="0.45">
      <c r="A8" t="s">
        <v>10</v>
      </c>
      <c r="B8" s="2">
        <v>171.92485277984869</v>
      </c>
      <c r="C8" s="2">
        <v>45.285555184382702</v>
      </c>
      <c r="D8" s="2">
        <v>142.78959203576861</v>
      </c>
    </row>
    <row r="9" spans="1:4" x14ac:dyDescent="0.45">
      <c r="A9" t="s">
        <v>11</v>
      </c>
      <c r="B9" s="2">
        <v>36.139475032238117</v>
      </c>
      <c r="C9" s="2">
        <v>151.0444531912039</v>
      </c>
      <c r="D9" s="2">
        <v>172.81607177655789</v>
      </c>
    </row>
    <row r="10" spans="1:4" x14ac:dyDescent="0.45">
      <c r="A10" t="s">
        <v>12</v>
      </c>
      <c r="B10" s="2">
        <v>161.4631336054666</v>
      </c>
      <c r="C10" s="2">
        <v>20.040304672422959</v>
      </c>
      <c r="D10" s="2">
        <v>181.50343827788959</v>
      </c>
    </row>
    <row r="11" spans="1:4" x14ac:dyDescent="0.45">
      <c r="A11" t="s">
        <v>13</v>
      </c>
      <c r="B11" s="2">
        <v>164.94335432515231</v>
      </c>
      <c r="C11" s="2">
        <v>114.1752732563485</v>
      </c>
      <c r="D11" s="2">
        <v>80.881372418499211</v>
      </c>
    </row>
    <row r="12" spans="1:4" x14ac:dyDescent="0.45">
      <c r="A12" t="s">
        <v>14</v>
      </c>
      <c r="B12" s="2">
        <v>128.19708094432221</v>
      </c>
      <c r="C12" s="2">
        <v>112.4456236712962</v>
      </c>
      <c r="D12" s="2">
        <v>119.3572953843816</v>
      </c>
    </row>
    <row r="13" spans="1:4" x14ac:dyDescent="0.45">
      <c r="A13" t="s">
        <v>15</v>
      </c>
      <c r="B13" s="2">
        <v>93.250029679251099</v>
      </c>
      <c r="C13" s="2">
        <v>166.87417869650201</v>
      </c>
      <c r="D13" s="2">
        <v>99.875791624246915</v>
      </c>
    </row>
    <row r="14" spans="1:4" x14ac:dyDescent="0.45">
      <c r="A14" t="s">
        <v>16</v>
      </c>
      <c r="B14" s="2">
        <v>168.27956273796809</v>
      </c>
      <c r="C14" s="2">
        <v>137.36241297572059</v>
      </c>
      <c r="D14" s="2">
        <v>329.0828502377525</v>
      </c>
    </row>
    <row r="15" spans="1:4" x14ac:dyDescent="0.45">
      <c r="A15" t="s">
        <v>17</v>
      </c>
      <c r="B15" s="2">
        <v>89.765133166718044</v>
      </c>
      <c r="C15" s="2">
        <v>73.376712772322605</v>
      </c>
      <c r="D15" s="2">
        <v>163.14184593904059</v>
      </c>
    </row>
    <row r="16" spans="1:4" x14ac:dyDescent="0.45">
      <c r="A16" t="s">
        <v>18</v>
      </c>
      <c r="B16" s="2">
        <v>179.90739628319361</v>
      </c>
      <c r="C16" s="2">
        <v>100.8861869387932</v>
      </c>
      <c r="D16" s="2">
        <v>280.79358322198681</v>
      </c>
    </row>
    <row r="17" spans="1:4" x14ac:dyDescent="0.45">
      <c r="A17" t="s">
        <v>19</v>
      </c>
      <c r="B17" s="2">
        <v>27.26358410664432</v>
      </c>
      <c r="C17" s="2">
        <v>27.66152873103556</v>
      </c>
      <c r="D17" s="2">
        <v>0.39794462439124351</v>
      </c>
    </row>
    <row r="18" spans="1:4" x14ac:dyDescent="0.45">
      <c r="A18" t="s">
        <v>20</v>
      </c>
      <c r="B18" s="2">
        <v>71.408108392388726</v>
      </c>
      <c r="C18" s="2">
        <v>175.20292546648531</v>
      </c>
      <c r="D18" s="2">
        <v>256.20518292590339</v>
      </c>
    </row>
    <row r="19" spans="1:4" x14ac:dyDescent="0.45">
      <c r="A19" t="s">
        <v>21</v>
      </c>
      <c r="B19" s="2">
        <v>14.87996955731467</v>
      </c>
      <c r="C19" s="2">
        <v>126.40907394192079</v>
      </c>
      <c r="D19" s="2">
        <v>141.28904349923539</v>
      </c>
    </row>
    <row r="20" spans="1:4" x14ac:dyDescent="0.45">
      <c r="A20" t="s">
        <v>22</v>
      </c>
      <c r="B20" s="2">
        <v>14.255954665952171</v>
      </c>
      <c r="C20" s="2">
        <v>92.487503198017805</v>
      </c>
      <c r="D20" s="2">
        <v>281.76845146793443</v>
      </c>
    </row>
    <row r="21" spans="1:4" x14ac:dyDescent="0.45">
      <c r="A21" t="s">
        <v>49</v>
      </c>
      <c r="B21" s="2">
        <v>9.7527511900337913</v>
      </c>
      <c r="C21" s="2">
        <v>23.857650252548861</v>
      </c>
      <c r="D21" s="2">
        <v>33.610401442582663</v>
      </c>
    </row>
    <row r="22" spans="1:4" x14ac:dyDescent="0.45">
      <c r="A22" t="s">
        <v>48</v>
      </c>
      <c r="B22" s="2">
        <v>66.76216433104338</v>
      </c>
      <c r="C22" s="2">
        <v>111.8623128575847</v>
      </c>
      <c r="D22" s="2">
        <v>178.62447718862811</v>
      </c>
    </row>
    <row r="23" spans="1:4" x14ac:dyDescent="0.45">
      <c r="A23" t="s">
        <v>25</v>
      </c>
      <c r="B23" s="2">
        <v>76.434033214304236</v>
      </c>
      <c r="C23" s="2">
        <v>30.681585341481991</v>
      </c>
      <c r="D23" s="2">
        <v>107.1156185557862</v>
      </c>
    </row>
    <row r="24" spans="1:4" x14ac:dyDescent="0.45">
      <c r="A24" t="s">
        <v>26</v>
      </c>
      <c r="B24" s="2">
        <v>102.9431825831053</v>
      </c>
      <c r="C24" s="2">
        <v>143.43733313623929</v>
      </c>
      <c r="D24" s="2">
        <v>319.50584944686602</v>
      </c>
    </row>
    <row r="25" spans="1:4" x14ac:dyDescent="0.45">
      <c r="A25" t="s">
        <v>27</v>
      </c>
      <c r="B25" s="2">
        <v>2.9808617978056868</v>
      </c>
      <c r="C25" s="2">
        <v>92.731096321156883</v>
      </c>
      <c r="D25" s="2">
        <v>95.711958118962571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Chemins</vt:lpstr>
      <vt:lpstr>data v2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Cecile JOLY</cp:lastModifiedBy>
  <dcterms:created xsi:type="dcterms:W3CDTF">2026-02-19T15:53:25Z</dcterms:created>
  <dcterms:modified xsi:type="dcterms:W3CDTF">2026-02-23T16:55:42Z</dcterms:modified>
</cp:coreProperties>
</file>